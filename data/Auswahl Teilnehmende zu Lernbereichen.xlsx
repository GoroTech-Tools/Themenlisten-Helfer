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DieseArbeitsmappe" defaultThemeVersion="166925"/>
  <mc:AlternateContent xmlns:mc="http://schemas.openxmlformats.org/markup-compatibility/2006">
    <mc:Choice Requires="x15">
      <x15ac:absPath xmlns:x15ac="http://schemas.microsoft.com/office/spreadsheetml/2010/11/ac" url="D:\OneDrive\Git-Projekte INN-tegrativ gGmbH\Themenlisten-Helfer\data\"/>
    </mc:Choice>
  </mc:AlternateContent>
  <xr:revisionPtr revIDLastSave="0" documentId="13_ncr:1_{D4C8B3FF-5E8B-4F06-8EAD-8B58095200E8}" xr6:coauthVersionLast="47" xr6:coauthVersionMax="47" xr10:uidLastSave="{00000000-0000-0000-0000-000000000000}"/>
  <bookViews>
    <workbookView xWindow="2490" yWindow="1530" windowWidth="26310" windowHeight="11295" activeTab="1" xr2:uid="{00000000-000D-0000-FFFF-FFFF00000000}"/>
  </bookViews>
  <sheets>
    <sheet name="Teilnehmende" sheetId="1" r:id="rId1"/>
    <sheet name="E-Mail-Konfiguration" sheetId="2" r:id="rId2"/>
    <sheet name="Vorbereitung" sheetId="3" r:id="rId3"/>
    <sheet name="Hilfstabellen" sheetId="4" r:id="rId4"/>
  </sheets>
  <definedNames>
    <definedName name="_xlnm._FilterDatabase" localSheetId="0" hidden="1">Teilnehmende!$A$1:$G$40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4" i="4" l="1"/>
  <c r="D84" i="4"/>
  <c r="E83" i="4"/>
  <c r="D83" i="4"/>
  <c r="E82" i="4"/>
  <c r="D82" i="4"/>
  <c r="E81" i="4"/>
  <c r="D81" i="4"/>
  <c r="E80" i="4"/>
  <c r="D80" i="4"/>
  <c r="E79" i="4"/>
  <c r="D79" i="4"/>
  <c r="E78" i="4"/>
  <c r="D78" i="4"/>
  <c r="E77" i="4"/>
  <c r="D77" i="4"/>
  <c r="E76" i="4"/>
  <c r="D76" i="4"/>
  <c r="E75" i="4"/>
  <c r="D75" i="4"/>
  <c r="E74" i="4"/>
  <c r="D74" i="4"/>
  <c r="E73" i="4"/>
  <c r="D73" i="4"/>
  <c r="E69" i="4"/>
  <c r="D69" i="4"/>
  <c r="E68" i="4"/>
  <c r="D68" i="4"/>
  <c r="E67" i="4"/>
  <c r="D67" i="4"/>
  <c r="E66" i="4"/>
  <c r="D66" i="4"/>
  <c r="E65" i="4"/>
  <c r="D65" i="4"/>
  <c r="E64" i="4"/>
  <c r="D64" i="4"/>
  <c r="E63" i="4"/>
  <c r="D63" i="4"/>
  <c r="E62" i="4"/>
  <c r="D62" i="4"/>
  <c r="E61" i="4"/>
  <c r="D61" i="4"/>
  <c r="E60" i="4"/>
  <c r="D60" i="4"/>
  <c r="E59" i="4"/>
  <c r="D59" i="4"/>
  <c r="E58" i="4"/>
  <c r="D58" i="4"/>
  <c r="E57" i="4"/>
  <c r="D57" i="4"/>
  <c r="E56" i="4"/>
  <c r="D56" i="4"/>
  <c r="E55" i="4"/>
  <c r="D55" i="4"/>
  <c r="E54" i="4"/>
  <c r="D54" i="4"/>
  <c r="E53" i="4"/>
  <c r="D53" i="4"/>
  <c r="E52" i="4"/>
  <c r="D52" i="4"/>
  <c r="E48" i="4"/>
  <c r="D48" i="4"/>
  <c r="E47" i="4"/>
  <c r="D47" i="4"/>
  <c r="E46" i="4"/>
  <c r="D46" i="4"/>
  <c r="E45" i="4"/>
  <c r="D45" i="4"/>
  <c r="E44" i="4"/>
  <c r="D44" i="4"/>
  <c r="E43" i="4"/>
  <c r="D43" i="4"/>
  <c r="E42" i="4"/>
  <c r="D42" i="4"/>
  <c r="E41" i="4"/>
  <c r="D41" i="4"/>
  <c r="E40" i="4"/>
  <c r="D40" i="4"/>
  <c r="E39" i="4"/>
  <c r="D39" i="4"/>
  <c r="E38" i="4"/>
  <c r="D38" i="4"/>
  <c r="E37" i="4"/>
  <c r="D37" i="4"/>
  <c r="E36" i="4"/>
  <c r="D36" i="4"/>
  <c r="E35" i="4"/>
  <c r="D35" i="4"/>
  <c r="E34" i="4"/>
  <c r="D34" i="4"/>
  <c r="E33" i="4"/>
  <c r="D33" i="4"/>
  <c r="E32" i="4"/>
  <c r="D32" i="4"/>
  <c r="E31" i="4"/>
  <c r="D31" i="4"/>
  <c r="E30" i="4"/>
  <c r="D30" i="4"/>
  <c r="E29" i="4"/>
  <c r="D29" i="4"/>
  <c r="E28" i="4"/>
  <c r="D28" i="4"/>
  <c r="E27" i="4"/>
  <c r="D27" i="4"/>
  <c r="E22" i="4"/>
  <c r="D22" i="4"/>
  <c r="E21" i="4"/>
  <c r="D21" i="4"/>
  <c r="E20" i="4"/>
  <c r="D20" i="4"/>
  <c r="E19" i="4"/>
  <c r="D19" i="4"/>
  <c r="E18" i="4"/>
  <c r="D18" i="4"/>
  <c r="E17" i="4"/>
  <c r="D17" i="4"/>
  <c r="E16" i="4"/>
  <c r="D16" i="4"/>
  <c r="E15" i="4"/>
  <c r="D15" i="4"/>
  <c r="E14" i="4"/>
  <c r="D14" i="4"/>
  <c r="E13" i="4"/>
  <c r="D13" i="4"/>
  <c r="E12" i="4"/>
  <c r="D12" i="4"/>
  <c r="E11" i="4"/>
  <c r="D11" i="4"/>
  <c r="E10" i="4"/>
  <c r="D10" i="4"/>
  <c r="E9" i="4"/>
  <c r="D9" i="4"/>
  <c r="E8" i="4"/>
  <c r="D8" i="4"/>
  <c r="E7" i="4"/>
  <c r="D7" i="4"/>
  <c r="E6" i="4"/>
  <c r="D6" i="4"/>
  <c r="E5" i="4"/>
  <c r="D5" i="4"/>
  <c r="E4" i="4"/>
  <c r="D4" i="4"/>
  <c r="E3" i="4"/>
  <c r="D3" i="4"/>
  <c r="E2" i="4"/>
  <c r="D2" i="4"/>
  <c r="C13" i="3"/>
  <c r="C12" i="3"/>
  <c r="C11" i="3"/>
  <c r="C10" i="3"/>
  <c r="C9" i="3"/>
  <c r="C8" i="3"/>
  <c r="C7" i="3"/>
  <c r="C6" i="3"/>
  <c r="C5" i="3"/>
  <c r="C4" i="3"/>
  <c r="C3" i="3"/>
  <c r="J1" i="1"/>
</calcChain>
</file>

<file path=xl/sharedStrings.xml><?xml version="1.0" encoding="utf-8"?>
<sst xmlns="http://schemas.openxmlformats.org/spreadsheetml/2006/main" count="559" uniqueCount="265">
  <si>
    <t>Anrede</t>
  </si>
  <si>
    <t>Vorname</t>
  </si>
  <si>
    <t>Nachname</t>
  </si>
  <si>
    <t>Zeitraum</t>
  </si>
  <si>
    <t>Kurs</t>
  </si>
  <si>
    <t>Lernbereich</t>
  </si>
  <si>
    <t>Verarbeiten</t>
  </si>
  <si>
    <t>Anzahl ausgewählter Teilnehmer</t>
  </si>
  <si>
    <t>Herr</t>
  </si>
  <si>
    <t>Marc William</t>
  </si>
  <si>
    <t>Evers</t>
  </si>
  <si>
    <t>11.05. - 05.06.2026</t>
  </si>
  <si>
    <t>KBM 2506</t>
  </si>
  <si>
    <t>Assistenz und Sekretariat</t>
  </si>
  <si>
    <t>Nein</t>
  </si>
  <si>
    <t>Jordan Bouke</t>
  </si>
  <si>
    <t>Fluitman</t>
  </si>
  <si>
    <t>Steffen</t>
  </si>
  <si>
    <t>Grummel</t>
  </si>
  <si>
    <t>Pasquale</t>
  </si>
  <si>
    <t>Guida</t>
  </si>
  <si>
    <t>Marketing und Vertrieb</t>
  </si>
  <si>
    <t>Frau</t>
  </si>
  <si>
    <t>Sonja</t>
  </si>
  <si>
    <t>Kalyta</t>
  </si>
  <si>
    <t>Manuela</t>
  </si>
  <si>
    <t>Kirmes</t>
  </si>
  <si>
    <t>Maik</t>
  </si>
  <si>
    <t>Mücke</t>
  </si>
  <si>
    <t>Marco</t>
  </si>
  <si>
    <t>Ockenga</t>
  </si>
  <si>
    <t>Nicole</t>
  </si>
  <si>
    <t>Sandkötter</t>
  </si>
  <si>
    <t>Michelle Louisa</t>
  </si>
  <si>
    <t>Seefeldt</t>
  </si>
  <si>
    <t>Katharina</t>
  </si>
  <si>
    <t>Simke</t>
  </si>
  <si>
    <t>Gustav</t>
  </si>
  <si>
    <t>Stoll</t>
  </si>
  <si>
    <t>Monika</t>
  </si>
  <si>
    <t>Süßmuth</t>
  </si>
  <si>
    <t>Dennis</t>
  </si>
  <si>
    <t>Thiems</t>
  </si>
  <si>
    <t>Matthias</t>
  </si>
  <si>
    <t>Hugen</t>
  </si>
  <si>
    <t>BFK 2506</t>
  </si>
  <si>
    <t>Christina</t>
  </si>
  <si>
    <t>Duhm</t>
  </si>
  <si>
    <t>Selma</t>
  </si>
  <si>
    <t>Seldüz</t>
  </si>
  <si>
    <t>Anne-Dörte</t>
  </si>
  <si>
    <t>Tangemann</t>
  </si>
  <si>
    <t>Julia</t>
  </si>
  <si>
    <t>Bönsch</t>
  </si>
  <si>
    <t>KBM 2601</t>
  </si>
  <si>
    <t>Einkauf und Logistik</t>
  </si>
  <si>
    <t>Yvonne</t>
  </si>
  <si>
    <t>Christians</t>
  </si>
  <si>
    <t>Personalwirtschaft</t>
  </si>
  <si>
    <t>Carola</t>
  </si>
  <si>
    <t>Dehnel</t>
  </si>
  <si>
    <t>Kaufmännische Steuerung und Kontrolle II</t>
  </si>
  <si>
    <t>Anna</t>
  </si>
  <si>
    <t>Döhren</t>
  </si>
  <si>
    <t>Florian</t>
  </si>
  <si>
    <t>Freimuth</t>
  </si>
  <si>
    <t>Pamela</t>
  </si>
  <si>
    <t>Hogelücht</t>
  </si>
  <si>
    <t>Jan-Helge</t>
  </si>
  <si>
    <t>Hollatz</t>
  </si>
  <si>
    <t>Irem</t>
  </si>
  <si>
    <t>Karagöz</t>
  </si>
  <si>
    <t>BFK 2601</t>
  </si>
  <si>
    <t>Kea</t>
  </si>
  <si>
    <t>Licher</t>
  </si>
  <si>
    <t>Bernd</t>
  </si>
  <si>
    <t>Malinowski</t>
  </si>
  <si>
    <t>Kamil</t>
  </si>
  <si>
    <t>Marchwinski</t>
  </si>
  <si>
    <t>Rayisa</t>
  </si>
  <si>
    <t>Moritz</t>
  </si>
  <si>
    <t>Britta</t>
  </si>
  <si>
    <t>Muhle</t>
  </si>
  <si>
    <t>Stefan</t>
  </si>
  <si>
    <t>Münster</t>
  </si>
  <si>
    <t>Gabriele</t>
  </si>
  <si>
    <t>Oelschläger</t>
  </si>
  <si>
    <t>Liesa-Sofie</t>
  </si>
  <si>
    <t>Remmers</t>
  </si>
  <si>
    <t>Birgitt</t>
  </si>
  <si>
    <t>Ritter</t>
  </si>
  <si>
    <t>Heike</t>
  </si>
  <si>
    <t>Staroste</t>
  </si>
  <si>
    <t>Saskia</t>
  </si>
  <si>
    <t>Stening</t>
  </si>
  <si>
    <t>Tobias</t>
  </si>
  <si>
    <t>Tensing</t>
  </si>
  <si>
    <t>Hendrik</t>
  </si>
  <si>
    <t>Widera</t>
  </si>
  <si>
    <t>Dentano</t>
  </si>
  <si>
    <t>Melanie</t>
  </si>
  <si>
    <t>KBM 2606</t>
  </si>
  <si>
    <t>Förster</t>
  </si>
  <si>
    <t>Torsten</t>
  </si>
  <si>
    <t>Gerdes</t>
  </si>
  <si>
    <t>Simon Jakob</t>
  </si>
  <si>
    <t>Grusche</t>
  </si>
  <si>
    <t>Sebastian</t>
  </si>
  <si>
    <t>Höber</t>
  </si>
  <si>
    <t>Jennifer</t>
  </si>
  <si>
    <t>Lange</t>
  </si>
  <si>
    <t>Yannik</t>
  </si>
  <si>
    <t>Marineße</t>
  </si>
  <si>
    <t>Loreen</t>
  </si>
  <si>
    <t>Meinke</t>
  </si>
  <si>
    <t>Jannyn</t>
  </si>
  <si>
    <t>Pendola</t>
  </si>
  <si>
    <t>Christine</t>
  </si>
  <si>
    <t>Precht</t>
  </si>
  <si>
    <t>Reeck</t>
  </si>
  <si>
    <t>Riethmüller</t>
  </si>
  <si>
    <t>Darron</t>
  </si>
  <si>
    <t>Sasse</t>
  </si>
  <si>
    <t>Corinna</t>
  </si>
  <si>
    <t>Sommer</t>
  </si>
  <si>
    <t>Daniela</t>
  </si>
  <si>
    <t>Szodrowski</t>
  </si>
  <si>
    <t>Jakub</t>
  </si>
  <si>
    <t>Wenke</t>
  </si>
  <si>
    <t>Franziska</t>
  </si>
  <si>
    <t>Wolter</t>
  </si>
  <si>
    <t>Sabine</t>
  </si>
  <si>
    <t>Zimmermann</t>
  </si>
  <si>
    <t>Maike</t>
  </si>
  <si>
    <t>Dammann</t>
  </si>
  <si>
    <t>Nils</t>
  </si>
  <si>
    <t>BFK 2606</t>
  </si>
  <si>
    <t>Pöppelmann</t>
  </si>
  <si>
    <t>Sauerwein</t>
  </si>
  <si>
    <t>Swetlana</t>
  </si>
  <si>
    <t>TemplateBezeichnung</t>
  </si>
  <si>
    <t>Subject</t>
  </si>
  <si>
    <t>BodyText</t>
  </si>
  <si>
    <t>Anhang1</t>
  </si>
  <si>
    <t>Anhang2</t>
  </si>
  <si>
    <t>Anhang3</t>
  </si>
  <si>
    <t>Anhang4</t>
  </si>
  <si>
    <t>Anhang5</t>
  </si>
  <si>
    <t>Themenliste_Marketing und Vertrieb</t>
  </si>
  <si>
    <t>Lernbereich Marketing und Vertrieb - Ihre Themenliste</t>
  </si>
  <si>
    <t>Herzlich Willkommen, &lt;&lt;anrede&gt;&gt; &lt;&lt;nachname&gt;&gt;, \n\nim Rahmen Ihrer Qualifizierung werden Sie in verschiedenen Unternehmensbereichen eingesetzt. Als Nächstes beschäftigen Sie sich im Zeitraum &lt;&lt;zeitraum&gt;&gt; mit Aufgaben aus dem Bereich Marketing und Vertrieb.\n\nIhre Tätigkeiten führen Sie in Raum 49.01 aus.\n\nDamit Sie den Überblick über Ihre Tätigkeiten und Zuständigkeitsbereiche nicht verlieren, senden wir Ihnen anbei eine Themenliste mit hilfreichen Informationen zu.\n\nBis bald. Das Team der Kaufleute freut sich auf Sie.</t>
  </si>
  <si>
    <t>Themenliste_Personalwirtschaft</t>
  </si>
  <si>
    <t>Lernbereich Personalwirtschaft - Ihre Themenliste</t>
  </si>
  <si>
    <t>Herzlich Willkommen, &lt;&lt;anrede&gt;&gt; &lt;&lt;nachname&gt;&gt;, \n\nim Rahmen Ihrer Qualifizierung werden Sie in verschiedenen Unternehmensbereichen eingesetzt. Als Nächstes beschäftigen Sie sich im Zeitraum &lt;&lt;zeitraum&gt;&gt; mit Aufgaben aus dem Bereich Personalwirtschaft.\n\nIhre Tätigkeiten führen Sie in Raum 49.01 aus.\n\nDamit Sie den Überblick über Ihre Tätigkeiten und Zuständigkeitsbereiche nicht verlieren, senden wir Ihnen anbei eine Themenliste mit hilfreichen Informationen zu.\n\nBis bald. Das Team der Kaufleute freut sich auf Sie.</t>
  </si>
  <si>
    <t>Themenliste_Auftragssteuerung und -koordination</t>
  </si>
  <si>
    <t>Lernbereich Auftragssteuerung und -koordination - Ihre Themenliste</t>
  </si>
  <si>
    <t>Herzlich Willkommen, &lt;&lt;anrede&gt;&gt; &lt;&lt;nachname&gt;&gt;, \n\nim Rahmen Ihrer Qualifizierung werden Sie in verschiedenen Unternehmensbereichen eingesetzt. Als Nächstes beschäftigen Sie sich im Zeitraum &lt;&lt;zeitraum&gt;&gt; mit Aufgaben aus dem Bereich Auftragssteuerung und -koordination.\n\nIhre Tätigkeiten führen Sie in Raum 49.01 aus.\n\nDamit Sie den Überblick über Ihre Tätigkeiten und Zuständigkeitsbereiche nicht verlieren, senden wir Ihnen anbei eine Themenliste mit hilfreichen Informationen zu.\n\nBis bald. Das Team der Kaufleute freut sich auf Sie.</t>
  </si>
  <si>
    <t>Themenliste_Einkauf und Logistik</t>
  </si>
  <si>
    <t>Lernbereich Einkauf und Logistik - Ihre Themenliste</t>
  </si>
  <si>
    <t>Herzlich Willkommen, &lt;&lt;anrede&gt;&gt; &lt;&lt;nachname&gt;&gt;, \n\nim Rahmen Ihrer Qualifizierung werden Sie in verschiedenen Unternehmensbereichen eingesetzt. Als Nächstes beschäftigen Sie sich im Zeitraum &lt;&lt;zeitraum&gt;&gt; mit Aufgaben aus dem Bereich Einkauf und Logistik.\n\nIhre Tätigkeiten führen Sie in Raum 49.03 aus.\n\nDamit Sie den Überblick über Ihre Tätigkeiten und Zuständigkeitsbereiche nicht verlieren, senden wir Ihnen anbei eine Themenliste mit hilfreichen Informationen zu.\n\nBis bald. Das Team der Kaufleute freut sich auf Sie.</t>
  </si>
  <si>
    <t>Themenliste_Assistenz und Sekretariat</t>
  </si>
  <si>
    <t>Lernbereich Assistenz und Sekretariat - Ihre Themenliste</t>
  </si>
  <si>
    <t>Herzlich Willkommen, &lt;&lt;anrede&gt;&gt; &lt;&lt;nachname&gt;&gt;, \n\nim Rahmen Ihrer Qualifizierung werden Sie in verschiedenen Unternehmensbereichen eingesetzt. Als Nächstes beschäftigen Sie sich im Zeitraum &lt;&lt;zeitraum&gt;&gt; mit Aufgaben aus dem Bereich Assistenz und Sekretariat.\n\nIhre Tätigkeiten führen Sie in Raum 49.03 aus.\n\nDamit Sie den Überblick über Ihre Tätigkeiten und Zuständigkeitsbereiche nicht verlieren, senden wir Ihnen anbei eine Themenliste mit hilfreichen Informationen zu.\n\nBis bald. Das Team der Kaufleute freut sich auf Sie.</t>
  </si>
  <si>
    <t>Themenliste_Kaufmännische Abläufe in KMU</t>
  </si>
  <si>
    <t>Lernbereich Kaufmännische Abläufe in kleinen und mittleren Unternehmen (KMU) - Ihre Themenliste</t>
  </si>
  <si>
    <t>Herzlich Willkommen, &lt;&lt;anrede&gt;&gt; &lt;&lt;nachname&gt;&gt;, \n\nim Rahmen Ihrer Qualifizierung werden Sie in verschiedenen Unternehmensbereichen eingesetzt. Als Nächstes beschäftigen Sie sich im Zeitraum &lt;&lt;zeitraum&gt;&gt; mit Aufgaben aus dem Bereich Kaufmännische Abläufe in kleinen und mittleren Unternehmen (KMU).\n\nIhre Tätigkeiten führen Sie in Raum 49.03 aus.\n\nDamit Sie den Überblick über Ihre Tätigkeiten und Zuständigkeitsbereiche nicht verlieren, senden wir Ihnen anbei eine Themenliste mit hilfreichen Informationen zu.\n\nBis bald. Das Team der Kaufleute freut sich auf Sie.</t>
  </si>
  <si>
    <t>Themenliste_Kaufmännische Steuerung und Kontrolle I</t>
  </si>
  <si>
    <t>Lernbereich Kaufmännische Steuerung und Kontrolle I - Ihre Themenliste</t>
  </si>
  <si>
    <t>Herzlich Willkommen, &lt;&lt;anrede&gt;&gt; &lt;&lt;nachname&gt;&gt;, \n\nim Rahmen Ihrer Qualifizierung werden Sie in verschiedenen Unternehmensbereichen eingesetzt. Als Nächstes beschäftigen Sie sich im Zeitraum &lt;&lt;zeitraum&gt;&gt; mit Aufgaben aus dem Bereich Kaufmännische Steuerung und Kontrolle I.\n\nIhre Tätigkeiten führen Sie in Raum 49.04 aus.\n\nDamit Sie den Überblick über Ihre Tätigkeiten und Zuständigkeitsbereiche nicht verlieren, senden wir Ihnen anbei eine Themenliste mit hilfreichen Informationen zu.\n\nBis bald. Das Team der Kaufleute freut sich auf Sie.</t>
  </si>
  <si>
    <t>Themenliste_Kaufmännische Steuerung und Kontrolle II</t>
  </si>
  <si>
    <t>Lernbereich Kaufmännische Steuerung und Kontrolle II - Ihre Themenliste</t>
  </si>
  <si>
    <t>Herzlich Willkommen, &lt;&lt;anrede&gt;&gt; &lt;&lt;nachname&gt;&gt;, \n\nim Rahmen Ihrer Qualifizierung werden Sie in verschiedenen Unternehmensbereichen eingesetzt. Als Nächstes beschäftigen Sie sich im Zeitraum &lt;&lt;zeitraum&gt;&gt; mit Aufgaben aus dem Bereich Kaufmännische Steuerung und Kontrolle II.\n\nIhre Tätigkeiten führen Sie in Raum 49.04 aus.\n\nDamit Sie den Überblick über Ihre Tätigkeiten und Zuständigkeitsbereiche nicht verlieren, senden wir Ihnen anbei eine Themenliste mit hilfreichen Informationen zu.\n\nBis bald. Das Team der Kaufleute freut sich auf Sie.</t>
  </si>
  <si>
    <t>Themenliste_Kaufmännische Steuerung und Kontrolle III</t>
  </si>
  <si>
    <t>Lernbereich Kaufmännische Steuerung und Kontrolle III - Ihre Themenliste</t>
  </si>
  <si>
    <t>Herzlich Willkommen, &lt;&lt;anrede&gt;&gt; &lt;&lt;nachname&gt;&gt;, \n\nim Rahmen Ihrer Qualifizierung werden Sie in verschiedenen Unternehmensbereichen eingesetzt. Als Nächstes beschäftigen Sie sich im Zeitraum &lt;&lt;zeitraum&gt;&gt; mit Aufgaben aus dem Bereich Kaufmännische Steuerung und Kontrolle III.\n\nIhre Tätigkeiten führen Sie in Raum 49.04 aus.\n\nDamit Sie den Überblick über Ihre Tätigkeiten und Zuständigkeitsbereiche nicht verlieren, senden wir Ihnen anbei eine Themenliste mit hilfreichen Informationen zu.\n\nBis bald. Das Team der Kaufleute freut sich auf Sie.</t>
  </si>
  <si>
    <t>Themenliste_Investition, Finanzierung und KLR</t>
  </si>
  <si>
    <t>Lernbereich Investition, Finanzierung und KLR - Ihre Themenliste</t>
  </si>
  <si>
    <t>Herzlich Willkommen, &lt;&lt;anrede&gt;&gt; &lt;&lt;nachname&gt;&gt;, \n\nim Rahmen Ihrer Qualifizierung werden Sie in verschiedenen Unternehmensbereichen eingesetzt. Als Nächstes beschäftigen Sie sich im Zeitraum &lt;&lt;zeitraum&gt;&gt; mit Aufgaben aus den Bereichen Investition und Finanzierung sowie Kosten- und Leistungsrechnung.\n\nDamit Sie den Überblick über Ihre Tätigkeiten und Zuständigkeitsbereiche nicht verlieren, senden wir Ihnen anbei eine Themenliste mit hilfreichen Informationen zu.\n\nBis bald. Das Team der Kaufleute freut sich auf Sie.</t>
  </si>
  <si>
    <t>Präfix</t>
  </si>
  <si>
    <t>Lernbereiche</t>
  </si>
  <si>
    <t>Bezeichnung</t>
  </si>
  <si>
    <t>Themenliste_</t>
  </si>
  <si>
    <t>Kaufmännische Abläufe in KMU</t>
  </si>
  <si>
    <t>Kaufmännische Steuerung und Kontrolle I</t>
  </si>
  <si>
    <t>Kaufmännische Steuerung und Kontrolle III</t>
  </si>
  <si>
    <t>Auftragssteuerung und -koordination</t>
  </si>
  <si>
    <t>Öffentlichkeitsarbeit und Veranstaltungsmanagement</t>
  </si>
  <si>
    <t>Investition, Finanzierung und KLR</t>
  </si>
  <si>
    <t>Kaufleute 2606</t>
  </si>
  <si>
    <t>Dentano, Melanie</t>
  </si>
  <si>
    <t>Förster, Torsten</t>
  </si>
  <si>
    <t>Gerdes, Simon Jakob</t>
  </si>
  <si>
    <t>Grusche, Sebastian</t>
  </si>
  <si>
    <t>Höber, Jennifer</t>
  </si>
  <si>
    <t>Lange, Yannik</t>
  </si>
  <si>
    <t>Marineße, Loreen</t>
  </si>
  <si>
    <t>Meinke, Jannyn</t>
  </si>
  <si>
    <t>Pendola, Christine</t>
  </si>
  <si>
    <t>Precht, Maik</t>
  </si>
  <si>
    <t>Reeck, Torsten</t>
  </si>
  <si>
    <t>Riethmüller, Darron</t>
  </si>
  <si>
    <t>Sasse, Corinna</t>
  </si>
  <si>
    <t>Sommer, Daniela</t>
  </si>
  <si>
    <t>Szodrowski, Jakub</t>
  </si>
  <si>
    <t>Wenke, Franziska</t>
  </si>
  <si>
    <t>Wolter, Sabine</t>
  </si>
  <si>
    <t>Zimmermann, Maike</t>
  </si>
  <si>
    <t>Dammann, Nils</t>
  </si>
  <si>
    <t>Pöppelmann, Manuela</t>
  </si>
  <si>
    <t>Sauerwein, Swetlana</t>
  </si>
  <si>
    <t>Kaufleute 2601</t>
  </si>
  <si>
    <t>Bönsch, Julia</t>
  </si>
  <si>
    <t>Busko, Nico</t>
  </si>
  <si>
    <t>Christians, Yvonne</t>
  </si>
  <si>
    <t>Dehnel, Carola</t>
  </si>
  <si>
    <t>Döhren, Anna</t>
  </si>
  <si>
    <t>Freimuth, Florian</t>
  </si>
  <si>
    <t>Hogelücht, Pamela</t>
  </si>
  <si>
    <t>Hollatz, Jan-Helge</t>
  </si>
  <si>
    <t>Karagöz, Irem</t>
  </si>
  <si>
    <t>Licher, Kea</t>
  </si>
  <si>
    <t>Malinowski, Bernd</t>
  </si>
  <si>
    <t>Marchwinski, Kamil</t>
  </si>
  <si>
    <t>Moritz, Rayisa</t>
  </si>
  <si>
    <t>Muhle, Britta</t>
  </si>
  <si>
    <t>Münster, Stefan</t>
  </si>
  <si>
    <t>Oelschläger, Gabriele</t>
  </si>
  <si>
    <t>Remmers, Liesa-Sofie</t>
  </si>
  <si>
    <t>Ritter, Birgitt</t>
  </si>
  <si>
    <t>Staroste, Heike</t>
  </si>
  <si>
    <t>Stening, Saskia</t>
  </si>
  <si>
    <t>Tensing, Tobias</t>
  </si>
  <si>
    <t>Widera, Hendrik</t>
  </si>
  <si>
    <t>Kaufleute 2506</t>
  </si>
  <si>
    <t>Evers, Marc William</t>
  </si>
  <si>
    <t>Fluitman, Jordan Bouke</t>
  </si>
  <si>
    <t>Grummel, Steffen</t>
  </si>
  <si>
    <t>Guida, Pasquale</t>
  </si>
  <si>
    <t>Kalyta, Sonja</t>
  </si>
  <si>
    <t>Kirmes, Manuela</t>
  </si>
  <si>
    <t>Mücke, Maik</t>
  </si>
  <si>
    <t>Ockenga, Marco</t>
  </si>
  <si>
    <t>Sandkötter, Nicole</t>
  </si>
  <si>
    <t>Seefeldt, Michelle Louisa</t>
  </si>
  <si>
    <t>Simke, Katharina</t>
  </si>
  <si>
    <t>Stoll, Gustav</t>
  </si>
  <si>
    <t>Süßmuth, Monika</t>
  </si>
  <si>
    <t>Thiems, Dennis</t>
  </si>
  <si>
    <t>Hugen, Matthias</t>
  </si>
  <si>
    <t>Duhm, Christina</t>
  </si>
  <si>
    <t>Seldüz, Selma</t>
  </si>
  <si>
    <t>Tangemann, Anne-Dörte</t>
  </si>
  <si>
    <t>Kaufleute 2501</t>
  </si>
  <si>
    <t>Batschauer, Vanessa</t>
  </si>
  <si>
    <t>Bodemer, Raissa</t>
  </si>
  <si>
    <t>Doberstein, Vanessa</t>
  </si>
  <si>
    <t>Fieberg, Kerstin</t>
  </si>
  <si>
    <t>Kempf, Cora</t>
  </si>
  <si>
    <t>Kramer, Angelika</t>
  </si>
  <si>
    <t>Kröger, Markus</t>
  </si>
  <si>
    <t>Lübbe, Jens</t>
  </si>
  <si>
    <t>Pyka, Juliane Melanie</t>
  </si>
  <si>
    <t>Rosenberg, Simone</t>
  </si>
  <si>
    <t>Schmidt, Saskia</t>
  </si>
  <si>
    <t>Terveer, Andrea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</si>
</sst>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Aptos"/>
      <family val="2"/>
    </font>
    <font>
      <b/>
      <sz val="10"/>
      <color theme="1"/>
      <name val="Aptos"/>
      <family val="2"/>
    </font>
    <font>
      <sz val="10"/>
      <color theme="1"/>
      <name val="Segoe UI"/>
      <family val="2"/>
    </font>
    <font>
      <b/>
      <sz val="10"/>
      <color theme="1"/>
      <name val="Segoe UI"/>
      <family val="2"/>
    </font>
  </fonts>
  <fills count="4">
    <fill>
      <patternFill patternType="none"/>
    </fill>
    <fill>
      <patternFill patternType="gray125"/>
    </fill>
    <fill>
      <patternFill patternType="solid">
        <fgColor theme="0" tint="-0.14999847407452621"/>
        <bgColor indexed="64"/>
      </patternFill>
    </fill>
    <fill>
      <patternFill patternType="solid">
        <fgColor rgb="FF90EE9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 fillId="0" borderId="0"/>
  </cellStyleXfs>
  <cellXfs count="23">
    <xf numFmtId="0" fontId="0" fillId="0" borderId="0" xfId="0"/>
    <xf numFmtId="0" fontId="0" fillId="0" borderId="1" xfId="0" applyBorder="1"/>
    <xf numFmtId="0" fontId="1" fillId="2" borderId="1" xfId="0" applyFont="1" applyFill="1" applyBorder="1"/>
    <xf numFmtId="0" fontId="1" fillId="2" borderId="1" xfId="0" applyFont="1" applyFill="1" applyBorder="1" applyAlignment="1">
      <alignment horizontal="centerContinuous"/>
    </xf>
    <xf numFmtId="0" fontId="0" fillId="2" borderId="1" xfId="0" applyFill="1" applyBorder="1" applyAlignment="1">
      <alignment horizontal="centerContinuous"/>
    </xf>
    <xf numFmtId="0" fontId="1" fillId="2" borderId="1" xfId="0" applyFont="1" applyFill="1" applyBorder="1" applyAlignment="1">
      <alignment horizontal="left"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xf>
    <xf numFmtId="0" fontId="0" fillId="3" borderId="1" xfId="0" applyFill="1" applyBorder="1" applyAlignment="1">
      <alignment horizontal="center"/>
    </xf>
    <xf numFmtId="0" fontId="0" fillId="0" borderId="2" xfId="0" applyBorder="1"/>
    <xf numFmtId="0" fontId="2" fillId="0" borderId="0" xfId="1"/>
    <xf numFmtId="0" fontId="2" fillId="0" borderId="0" xfId="1" applyAlignment="1">
      <alignment vertical="top"/>
    </xf>
    <xf numFmtId="0" fontId="3" fillId="0" borderId="0" xfId="1" applyFont="1"/>
    <xf numFmtId="0" fontId="3" fillId="0" borderId="1" xfId="1" applyFont="1" applyBorder="1" applyAlignment="1">
      <alignment horizontal="left" vertical="center"/>
    </xf>
    <xf numFmtId="0" fontId="3" fillId="0" borderId="1" xfId="1" applyFont="1" applyBorder="1" applyAlignment="1">
      <alignment horizontal="center" vertical="center"/>
    </xf>
    <xf numFmtId="0" fontId="2" fillId="0" borderId="1" xfId="1" applyBorder="1" applyAlignment="1">
      <alignment vertical="top"/>
    </xf>
    <xf numFmtId="0" fontId="2" fillId="0" borderId="1" xfId="1" applyBorder="1" applyAlignment="1">
      <alignment vertical="top" wrapText="1"/>
    </xf>
    <xf numFmtId="0" fontId="0" fillId="2" borderId="3" xfId="0" applyFill="1" applyBorder="1" applyAlignment="1">
      <alignment horizontal="centerContinuous"/>
    </xf>
    <xf numFmtId="0" fontId="0" fillId="2" borderId="4" xfId="0" applyFill="1" applyBorder="1" applyAlignment="1">
      <alignment horizontal="centerContinuous"/>
    </xf>
    <xf numFmtId="0" fontId="0" fillId="0" borderId="1" xfId="0" applyBorder="1" applyAlignment="1">
      <alignment horizontal="left" vertical="center"/>
    </xf>
    <xf numFmtId="0" fontId="0" fillId="0" borderId="1" xfId="0" applyBorder="1" applyAlignment="1">
      <alignment horizontal="left"/>
    </xf>
    <xf numFmtId="0" fontId="1" fillId="0" borderId="0" xfId="0" applyFont="1"/>
    <xf numFmtId="0" fontId="2" fillId="0" borderId="1" xfId="1" applyBorder="1"/>
  </cellXfs>
  <cellStyles count="2">
    <cellStyle name="Standard" xfId="0" builtinId="0"/>
    <cellStyle name="Standard 2" xfId="1" xr:uid="{00000000-0005-0000-0000-000001000000}"/>
  </cellStyles>
  <dxfs count="6">
    <dxf>
      <font>
        <b/>
        <color rgb="FF8B0000"/>
      </font>
      <fill>
        <patternFill>
          <bgColor rgb="FFFFE4E1"/>
        </patternFill>
      </fill>
    </dxf>
    <dxf>
      <font>
        <b/>
        <color rgb="FF006400"/>
      </font>
      <fill>
        <patternFill>
          <bgColor rgb="FF90EE90"/>
        </patternFill>
      </fill>
    </dxf>
    <dxf>
      <numFmt numFmtId="0" formatCode="General"/>
    </dxf>
    <dxf>
      <numFmt numFmtId="0" formatCode="General"/>
    </dxf>
    <dxf>
      <numFmt numFmtId="0" formatCode="General"/>
    </dxf>
    <dxf>
      <font>
        <b/>
      </font>
      <alignment horizontal="center"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mail_Konfiguration" displayName="Email_Konfiguration" ref="A1:C13" totalsRowShown="0" headerRowDxfId="5">
  <autoFilter ref="A1:C13" xr:uid="{00000000-0009-0000-0100-000001000000}"/>
  <tableColumns count="3">
    <tableColumn id="1" xr3:uid="{00000000-0010-0000-0000-000001000000}" name="TemplateBezeichnung" dataDxfId="4"/>
    <tableColumn id="2" xr3:uid="{00000000-0010-0000-0000-000002000000}" name="Subject" dataDxfId="3"/>
    <tableColumn id="3" xr3:uid="{00000000-0010-0000-0000-000003000000}" name="BodyText" dataDxfId="2"/>
  </tableColumns>
  <tableStyleInfo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tabColor theme="9" tint="-0.249977111117893"/>
  </sheetPr>
  <dimension ref="A1:J61"/>
  <sheetViews>
    <sheetView workbookViewId="0">
      <selection activeCell="J1" sqref="J1"/>
    </sheetView>
  </sheetViews>
  <sheetFormatPr baseColWidth="10" defaultRowHeight="13.5" x14ac:dyDescent="0.25"/>
  <cols>
    <col min="2" max="2" width="24.28515625" customWidth="1"/>
    <col min="3" max="3" width="16.28515625" customWidth="1"/>
    <col min="4" max="4" width="16.85546875" bestFit="1" customWidth="1"/>
    <col min="6" max="6" width="44.85546875" customWidth="1"/>
    <col min="7" max="7" width="12.7109375" customWidth="1"/>
    <col min="9" max="9" width="29.5703125" bestFit="1" customWidth="1"/>
  </cols>
  <sheetData>
    <row r="1" spans="1:10" x14ac:dyDescent="0.25">
      <c r="A1" s="5" t="s">
        <v>0</v>
      </c>
      <c r="B1" s="6" t="s">
        <v>1</v>
      </c>
      <c r="C1" s="6" t="s">
        <v>2</v>
      </c>
      <c r="D1" s="6" t="s">
        <v>3</v>
      </c>
      <c r="E1" s="6" t="s">
        <v>4</v>
      </c>
      <c r="F1" s="6" t="s">
        <v>5</v>
      </c>
      <c r="G1" s="7" t="s">
        <v>6</v>
      </c>
      <c r="I1" s="21" t="s">
        <v>7</v>
      </c>
      <c r="J1" s="21">
        <f>COUNTIF($G$2:$G$40,"Ja")</f>
        <v>0</v>
      </c>
    </row>
    <row r="2" spans="1:10" x14ac:dyDescent="0.25">
      <c r="A2" s="1" t="s">
        <v>8</v>
      </c>
      <c r="B2" s="1" t="s">
        <v>9</v>
      </c>
      <c r="C2" s="1" t="s">
        <v>10</v>
      </c>
      <c r="D2" s="1" t="s">
        <v>11</v>
      </c>
      <c r="E2" s="1" t="s">
        <v>12</v>
      </c>
      <c r="F2" s="1" t="s">
        <v>13</v>
      </c>
      <c r="G2" s="8" t="s">
        <v>14</v>
      </c>
    </row>
    <row r="3" spans="1:10" x14ac:dyDescent="0.25">
      <c r="A3" s="1" t="s">
        <v>8</v>
      </c>
      <c r="B3" s="1" t="s">
        <v>15</v>
      </c>
      <c r="C3" s="1" t="s">
        <v>16</v>
      </c>
      <c r="D3" s="1" t="s">
        <v>11</v>
      </c>
      <c r="E3" s="1" t="s">
        <v>12</v>
      </c>
      <c r="F3" s="1" t="s">
        <v>13</v>
      </c>
      <c r="G3" s="8" t="s">
        <v>14</v>
      </c>
    </row>
    <row r="4" spans="1:10" x14ac:dyDescent="0.25">
      <c r="A4" s="1" t="s">
        <v>8</v>
      </c>
      <c r="B4" s="1" t="s">
        <v>17</v>
      </c>
      <c r="C4" s="1" t="s">
        <v>18</v>
      </c>
      <c r="D4" s="1" t="s">
        <v>11</v>
      </c>
      <c r="E4" s="1" t="s">
        <v>12</v>
      </c>
      <c r="F4" s="1" t="s">
        <v>13</v>
      </c>
      <c r="G4" s="8" t="s">
        <v>14</v>
      </c>
    </row>
    <row r="5" spans="1:10" x14ac:dyDescent="0.25">
      <c r="A5" s="1" t="s">
        <v>8</v>
      </c>
      <c r="B5" s="1" t="s">
        <v>19</v>
      </c>
      <c r="C5" s="1" t="s">
        <v>20</v>
      </c>
      <c r="D5" s="1" t="s">
        <v>11</v>
      </c>
      <c r="E5" s="1" t="s">
        <v>12</v>
      </c>
      <c r="F5" s="1" t="s">
        <v>21</v>
      </c>
      <c r="G5" s="8" t="s">
        <v>14</v>
      </c>
    </row>
    <row r="6" spans="1:10" x14ac:dyDescent="0.25">
      <c r="A6" s="1" t="s">
        <v>22</v>
      </c>
      <c r="B6" s="1" t="s">
        <v>23</v>
      </c>
      <c r="C6" s="1" t="s">
        <v>24</v>
      </c>
      <c r="D6" s="1" t="s">
        <v>11</v>
      </c>
      <c r="E6" s="1" t="s">
        <v>12</v>
      </c>
      <c r="F6" s="1" t="s">
        <v>21</v>
      </c>
      <c r="G6" s="8" t="s">
        <v>14</v>
      </c>
    </row>
    <row r="7" spans="1:10" x14ac:dyDescent="0.25">
      <c r="A7" s="1" t="s">
        <v>22</v>
      </c>
      <c r="B7" s="1" t="s">
        <v>25</v>
      </c>
      <c r="C7" s="1" t="s">
        <v>26</v>
      </c>
      <c r="D7" s="1" t="s">
        <v>11</v>
      </c>
      <c r="E7" s="1" t="s">
        <v>12</v>
      </c>
      <c r="F7" s="1" t="s">
        <v>13</v>
      </c>
      <c r="G7" s="8" t="s">
        <v>14</v>
      </c>
    </row>
    <row r="8" spans="1:10" x14ac:dyDescent="0.25">
      <c r="A8" s="1" t="s">
        <v>8</v>
      </c>
      <c r="B8" s="1" t="s">
        <v>27</v>
      </c>
      <c r="C8" s="1" t="s">
        <v>28</v>
      </c>
      <c r="D8" s="1" t="s">
        <v>11</v>
      </c>
      <c r="E8" s="1" t="s">
        <v>12</v>
      </c>
      <c r="F8" s="1" t="s">
        <v>21</v>
      </c>
      <c r="G8" s="8" t="s">
        <v>14</v>
      </c>
    </row>
    <row r="9" spans="1:10" x14ac:dyDescent="0.25">
      <c r="A9" s="1" t="s">
        <v>8</v>
      </c>
      <c r="B9" s="1" t="s">
        <v>29</v>
      </c>
      <c r="C9" s="1" t="s">
        <v>30</v>
      </c>
      <c r="D9" s="1" t="s">
        <v>11</v>
      </c>
      <c r="E9" s="1" t="s">
        <v>12</v>
      </c>
      <c r="F9" s="1" t="s">
        <v>21</v>
      </c>
      <c r="G9" s="8" t="s">
        <v>14</v>
      </c>
    </row>
    <row r="10" spans="1:10" x14ac:dyDescent="0.25">
      <c r="A10" s="1" t="s">
        <v>22</v>
      </c>
      <c r="B10" s="1" t="s">
        <v>31</v>
      </c>
      <c r="C10" s="1" t="s">
        <v>32</v>
      </c>
      <c r="D10" s="1" t="s">
        <v>11</v>
      </c>
      <c r="E10" s="1" t="s">
        <v>12</v>
      </c>
      <c r="F10" s="1" t="s">
        <v>21</v>
      </c>
      <c r="G10" s="8" t="s">
        <v>14</v>
      </c>
    </row>
    <row r="11" spans="1:10" x14ac:dyDescent="0.25">
      <c r="A11" s="1" t="s">
        <v>22</v>
      </c>
      <c r="B11" s="1" t="s">
        <v>33</v>
      </c>
      <c r="C11" s="1" t="s">
        <v>34</v>
      </c>
      <c r="D11" s="1" t="s">
        <v>11</v>
      </c>
      <c r="E11" s="1" t="s">
        <v>12</v>
      </c>
      <c r="F11" s="1" t="s">
        <v>13</v>
      </c>
      <c r="G11" s="8" t="s">
        <v>14</v>
      </c>
    </row>
    <row r="12" spans="1:10" x14ac:dyDescent="0.25">
      <c r="A12" s="1" t="s">
        <v>22</v>
      </c>
      <c r="B12" s="1" t="s">
        <v>35</v>
      </c>
      <c r="C12" s="1" t="s">
        <v>36</v>
      </c>
      <c r="D12" s="1" t="s">
        <v>11</v>
      </c>
      <c r="E12" s="1" t="s">
        <v>12</v>
      </c>
      <c r="F12" s="1" t="s">
        <v>13</v>
      </c>
      <c r="G12" s="8" t="s">
        <v>14</v>
      </c>
    </row>
    <row r="13" spans="1:10" x14ac:dyDescent="0.25">
      <c r="A13" s="1" t="s">
        <v>8</v>
      </c>
      <c r="B13" s="1" t="s">
        <v>37</v>
      </c>
      <c r="C13" s="1" t="s">
        <v>38</v>
      </c>
      <c r="D13" s="1" t="s">
        <v>11</v>
      </c>
      <c r="E13" s="1" t="s">
        <v>12</v>
      </c>
      <c r="F13" s="1" t="s">
        <v>21</v>
      </c>
      <c r="G13" s="8" t="s">
        <v>14</v>
      </c>
    </row>
    <row r="14" spans="1:10" x14ac:dyDescent="0.25">
      <c r="A14" s="1" t="s">
        <v>22</v>
      </c>
      <c r="B14" s="1" t="s">
        <v>39</v>
      </c>
      <c r="C14" s="1" t="s">
        <v>40</v>
      </c>
      <c r="D14" s="1" t="s">
        <v>11</v>
      </c>
      <c r="E14" s="1" t="s">
        <v>12</v>
      </c>
      <c r="F14" s="1" t="s">
        <v>21</v>
      </c>
      <c r="G14" s="8" t="s">
        <v>14</v>
      </c>
    </row>
    <row r="15" spans="1:10" x14ac:dyDescent="0.25">
      <c r="A15" s="1" t="s">
        <v>8</v>
      </c>
      <c r="B15" s="1" t="s">
        <v>41</v>
      </c>
      <c r="C15" s="1" t="s">
        <v>42</v>
      </c>
      <c r="D15" s="1" t="s">
        <v>11</v>
      </c>
      <c r="E15" s="1" t="s">
        <v>12</v>
      </c>
      <c r="F15" s="1" t="s">
        <v>13</v>
      </c>
      <c r="G15" s="8" t="s">
        <v>14</v>
      </c>
    </row>
    <row r="16" spans="1:10" x14ac:dyDescent="0.25">
      <c r="A16" s="1" t="s">
        <v>8</v>
      </c>
      <c r="B16" s="1" t="s">
        <v>43</v>
      </c>
      <c r="C16" s="1" t="s">
        <v>44</v>
      </c>
      <c r="D16" s="1" t="s">
        <v>11</v>
      </c>
      <c r="E16" s="1" t="s">
        <v>45</v>
      </c>
      <c r="F16" s="1" t="s">
        <v>21</v>
      </c>
      <c r="G16" s="8" t="s">
        <v>14</v>
      </c>
    </row>
    <row r="17" spans="1:7" x14ac:dyDescent="0.25">
      <c r="A17" s="1" t="s">
        <v>22</v>
      </c>
      <c r="B17" s="1" t="s">
        <v>46</v>
      </c>
      <c r="C17" s="1" t="s">
        <v>47</v>
      </c>
      <c r="D17" s="1" t="s">
        <v>11</v>
      </c>
      <c r="E17" s="1" t="s">
        <v>12</v>
      </c>
      <c r="F17" s="1" t="s">
        <v>21</v>
      </c>
      <c r="G17" s="8" t="s">
        <v>14</v>
      </c>
    </row>
    <row r="18" spans="1:7" x14ac:dyDescent="0.25">
      <c r="A18" s="1" t="s">
        <v>22</v>
      </c>
      <c r="B18" s="1" t="s">
        <v>48</v>
      </c>
      <c r="C18" s="1" t="s">
        <v>49</v>
      </c>
      <c r="D18" s="1" t="s">
        <v>11</v>
      </c>
      <c r="E18" s="1" t="s">
        <v>12</v>
      </c>
      <c r="F18" s="1" t="s">
        <v>13</v>
      </c>
      <c r="G18" s="8" t="s">
        <v>14</v>
      </c>
    </row>
    <row r="19" spans="1:7" x14ac:dyDescent="0.25">
      <c r="A19" s="1" t="s">
        <v>22</v>
      </c>
      <c r="B19" s="1" t="s">
        <v>50</v>
      </c>
      <c r="C19" s="1" t="s">
        <v>51</v>
      </c>
      <c r="D19" s="1" t="s">
        <v>11</v>
      </c>
      <c r="E19" s="1" t="s">
        <v>12</v>
      </c>
      <c r="F19" s="1" t="s">
        <v>21</v>
      </c>
      <c r="G19" s="8" t="s">
        <v>14</v>
      </c>
    </row>
    <row r="20" spans="1:7" x14ac:dyDescent="0.25">
      <c r="A20" s="1" t="s">
        <v>22</v>
      </c>
      <c r="B20" s="1" t="s">
        <v>52</v>
      </c>
      <c r="C20" s="1" t="s">
        <v>53</v>
      </c>
      <c r="D20" s="1" t="s">
        <v>11</v>
      </c>
      <c r="E20" s="1" t="s">
        <v>54</v>
      </c>
      <c r="F20" s="1" t="s">
        <v>55</v>
      </c>
      <c r="G20" s="8" t="s">
        <v>14</v>
      </c>
    </row>
    <row r="21" spans="1:7" x14ac:dyDescent="0.25">
      <c r="A21" s="1" t="s">
        <v>22</v>
      </c>
      <c r="B21" s="1" t="s">
        <v>56</v>
      </c>
      <c r="C21" s="1" t="s">
        <v>57</v>
      </c>
      <c r="D21" s="1" t="s">
        <v>11</v>
      </c>
      <c r="E21" s="1" t="s">
        <v>54</v>
      </c>
      <c r="F21" s="1" t="s">
        <v>58</v>
      </c>
      <c r="G21" s="8" t="s">
        <v>14</v>
      </c>
    </row>
    <row r="22" spans="1:7" x14ac:dyDescent="0.25">
      <c r="A22" s="1" t="s">
        <v>22</v>
      </c>
      <c r="B22" s="1" t="s">
        <v>59</v>
      </c>
      <c r="C22" s="1" t="s">
        <v>60</v>
      </c>
      <c r="D22" s="1" t="s">
        <v>11</v>
      </c>
      <c r="E22" s="1" t="s">
        <v>54</v>
      </c>
      <c r="F22" s="1" t="s">
        <v>61</v>
      </c>
      <c r="G22" s="8" t="s">
        <v>14</v>
      </c>
    </row>
    <row r="23" spans="1:7" x14ac:dyDescent="0.25">
      <c r="A23" s="1" t="s">
        <v>22</v>
      </c>
      <c r="B23" s="1" t="s">
        <v>62</v>
      </c>
      <c r="C23" s="1" t="s">
        <v>63</v>
      </c>
      <c r="D23" s="1" t="s">
        <v>11</v>
      </c>
      <c r="E23" s="1" t="s">
        <v>54</v>
      </c>
      <c r="F23" s="1" t="s">
        <v>61</v>
      </c>
      <c r="G23" s="8" t="s">
        <v>14</v>
      </c>
    </row>
    <row r="24" spans="1:7" x14ac:dyDescent="0.25">
      <c r="A24" s="1" t="s">
        <v>8</v>
      </c>
      <c r="B24" s="1" t="s">
        <v>64</v>
      </c>
      <c r="C24" s="1" t="s">
        <v>65</v>
      </c>
      <c r="D24" s="1" t="s">
        <v>11</v>
      </c>
      <c r="E24" s="1" t="s">
        <v>54</v>
      </c>
      <c r="F24" s="1" t="s">
        <v>61</v>
      </c>
      <c r="G24" s="8" t="s">
        <v>14</v>
      </c>
    </row>
    <row r="25" spans="1:7" x14ac:dyDescent="0.25">
      <c r="A25" s="1" t="s">
        <v>22</v>
      </c>
      <c r="B25" s="1" t="s">
        <v>66</v>
      </c>
      <c r="C25" s="1" t="s">
        <v>67</v>
      </c>
      <c r="D25" s="1" t="s">
        <v>11</v>
      </c>
      <c r="E25" s="1" t="s">
        <v>54</v>
      </c>
      <c r="F25" s="1" t="s">
        <v>61</v>
      </c>
      <c r="G25" s="8" t="s">
        <v>14</v>
      </c>
    </row>
    <row r="26" spans="1:7" x14ac:dyDescent="0.25">
      <c r="A26" s="1" t="s">
        <v>8</v>
      </c>
      <c r="B26" s="1" t="s">
        <v>68</v>
      </c>
      <c r="C26" s="1" t="s">
        <v>69</v>
      </c>
      <c r="D26" s="1" t="s">
        <v>11</v>
      </c>
      <c r="E26" s="1" t="s">
        <v>54</v>
      </c>
      <c r="F26" s="1" t="s">
        <v>61</v>
      </c>
      <c r="G26" s="8" t="s">
        <v>14</v>
      </c>
    </row>
    <row r="27" spans="1:7" x14ac:dyDescent="0.25">
      <c r="A27" s="9" t="s">
        <v>22</v>
      </c>
      <c r="B27" s="9" t="s">
        <v>70</v>
      </c>
      <c r="C27" s="1" t="s">
        <v>71</v>
      </c>
      <c r="D27" s="1" t="s">
        <v>11</v>
      </c>
      <c r="E27" s="1" t="s">
        <v>72</v>
      </c>
      <c r="F27" s="1" t="s">
        <v>55</v>
      </c>
      <c r="G27" s="8" t="s">
        <v>14</v>
      </c>
    </row>
    <row r="28" spans="1:7" x14ac:dyDescent="0.25">
      <c r="A28" s="1" t="s">
        <v>22</v>
      </c>
      <c r="B28" s="1" t="s">
        <v>73</v>
      </c>
      <c r="C28" s="1" t="s">
        <v>74</v>
      </c>
      <c r="D28" s="1" t="s">
        <v>11</v>
      </c>
      <c r="E28" s="1" t="s">
        <v>54</v>
      </c>
      <c r="F28" s="1" t="s">
        <v>61</v>
      </c>
      <c r="G28" s="8" t="s">
        <v>14</v>
      </c>
    </row>
    <row r="29" spans="1:7" x14ac:dyDescent="0.25">
      <c r="A29" s="1" t="s">
        <v>8</v>
      </c>
      <c r="B29" s="1" t="s">
        <v>75</v>
      </c>
      <c r="C29" s="1" t="s">
        <v>76</v>
      </c>
      <c r="D29" s="1" t="s">
        <v>11</v>
      </c>
      <c r="E29" s="1" t="s">
        <v>54</v>
      </c>
      <c r="F29" s="1" t="s">
        <v>61</v>
      </c>
      <c r="G29" s="8" t="s">
        <v>14</v>
      </c>
    </row>
    <row r="30" spans="1:7" x14ac:dyDescent="0.25">
      <c r="A30" s="1" t="s">
        <v>8</v>
      </c>
      <c r="B30" s="1" t="s">
        <v>77</v>
      </c>
      <c r="C30" s="1" t="s">
        <v>78</v>
      </c>
      <c r="D30" s="1" t="s">
        <v>11</v>
      </c>
      <c r="E30" s="1" t="s">
        <v>54</v>
      </c>
      <c r="F30" s="1" t="s">
        <v>61</v>
      </c>
      <c r="G30" s="8" t="s">
        <v>14</v>
      </c>
    </row>
    <row r="31" spans="1:7" x14ac:dyDescent="0.25">
      <c r="A31" s="1" t="s">
        <v>22</v>
      </c>
      <c r="B31" s="1" t="s">
        <v>79</v>
      </c>
      <c r="C31" s="1" t="s">
        <v>80</v>
      </c>
      <c r="D31" s="1" t="s">
        <v>11</v>
      </c>
      <c r="E31" s="1" t="s">
        <v>54</v>
      </c>
      <c r="F31" s="1" t="s">
        <v>61</v>
      </c>
      <c r="G31" s="8" t="s">
        <v>14</v>
      </c>
    </row>
    <row r="32" spans="1:7" x14ac:dyDescent="0.25">
      <c r="A32" s="1" t="s">
        <v>22</v>
      </c>
      <c r="B32" s="1" t="s">
        <v>81</v>
      </c>
      <c r="C32" s="1" t="s">
        <v>82</v>
      </c>
      <c r="D32" s="1" t="s">
        <v>11</v>
      </c>
      <c r="E32" s="1" t="s">
        <v>54</v>
      </c>
      <c r="F32" s="1" t="s">
        <v>61</v>
      </c>
      <c r="G32" s="8" t="s">
        <v>14</v>
      </c>
    </row>
    <row r="33" spans="1:7" x14ac:dyDescent="0.25">
      <c r="A33" s="1" t="s">
        <v>8</v>
      </c>
      <c r="B33" s="1" t="s">
        <v>83</v>
      </c>
      <c r="C33" s="1" t="s">
        <v>84</v>
      </c>
      <c r="D33" s="1" t="s">
        <v>11</v>
      </c>
      <c r="E33" s="1" t="s">
        <v>54</v>
      </c>
      <c r="F33" s="1" t="s">
        <v>61</v>
      </c>
      <c r="G33" s="8" t="s">
        <v>14</v>
      </c>
    </row>
    <row r="34" spans="1:7" x14ac:dyDescent="0.25">
      <c r="A34" s="1" t="s">
        <v>22</v>
      </c>
      <c r="B34" s="1" t="s">
        <v>85</v>
      </c>
      <c r="C34" s="1" t="s">
        <v>86</v>
      </c>
      <c r="D34" s="1" t="s">
        <v>11</v>
      </c>
      <c r="E34" s="1" t="s">
        <v>54</v>
      </c>
      <c r="F34" s="1" t="s">
        <v>58</v>
      </c>
      <c r="G34" s="8" t="s">
        <v>14</v>
      </c>
    </row>
    <row r="35" spans="1:7" x14ac:dyDescent="0.25">
      <c r="A35" s="1" t="s">
        <v>22</v>
      </c>
      <c r="B35" s="1" t="s">
        <v>87</v>
      </c>
      <c r="C35" s="1" t="s">
        <v>88</v>
      </c>
      <c r="D35" s="1" t="s">
        <v>11</v>
      </c>
      <c r="E35" s="1" t="s">
        <v>54</v>
      </c>
      <c r="F35" s="1" t="s">
        <v>58</v>
      </c>
      <c r="G35" s="8" t="s">
        <v>14</v>
      </c>
    </row>
    <row r="36" spans="1:7" x14ac:dyDescent="0.25">
      <c r="A36" s="1" t="s">
        <v>22</v>
      </c>
      <c r="B36" s="1" t="s">
        <v>89</v>
      </c>
      <c r="C36" s="1" t="s">
        <v>90</v>
      </c>
      <c r="D36" s="1" t="s">
        <v>11</v>
      </c>
      <c r="E36" s="1" t="s">
        <v>54</v>
      </c>
      <c r="F36" s="1" t="s">
        <v>58</v>
      </c>
      <c r="G36" s="8" t="s">
        <v>14</v>
      </c>
    </row>
    <row r="37" spans="1:7" x14ac:dyDescent="0.25">
      <c r="A37" s="1" t="s">
        <v>22</v>
      </c>
      <c r="B37" s="1" t="s">
        <v>91</v>
      </c>
      <c r="C37" s="1" t="s">
        <v>92</v>
      </c>
      <c r="D37" s="1" t="s">
        <v>11</v>
      </c>
      <c r="E37" s="1" t="s">
        <v>54</v>
      </c>
      <c r="F37" s="1" t="s">
        <v>55</v>
      </c>
      <c r="G37" s="8" t="s">
        <v>14</v>
      </c>
    </row>
    <row r="38" spans="1:7" x14ac:dyDescent="0.25">
      <c r="A38" s="1" t="s">
        <v>22</v>
      </c>
      <c r="B38" s="1" t="s">
        <v>93</v>
      </c>
      <c r="C38" s="1" t="s">
        <v>94</v>
      </c>
      <c r="D38" s="1" t="s">
        <v>11</v>
      </c>
      <c r="E38" s="1" t="s">
        <v>54</v>
      </c>
      <c r="F38" s="1" t="s">
        <v>61</v>
      </c>
      <c r="G38" s="8" t="s">
        <v>14</v>
      </c>
    </row>
    <row r="39" spans="1:7" x14ac:dyDescent="0.25">
      <c r="A39" s="1" t="s">
        <v>8</v>
      </c>
      <c r="B39" s="1" t="s">
        <v>95</v>
      </c>
      <c r="C39" s="1" t="s">
        <v>96</v>
      </c>
      <c r="D39" s="1" t="s">
        <v>11</v>
      </c>
      <c r="E39" s="1" t="s">
        <v>54</v>
      </c>
      <c r="F39" s="1" t="s">
        <v>55</v>
      </c>
      <c r="G39" s="8" t="s">
        <v>14</v>
      </c>
    </row>
    <row r="40" spans="1:7" x14ac:dyDescent="0.25">
      <c r="A40" s="1" t="s">
        <v>8</v>
      </c>
      <c r="B40" s="1" t="s">
        <v>97</v>
      </c>
      <c r="C40" s="1" t="s">
        <v>98</v>
      </c>
      <c r="D40" s="1" t="s">
        <v>11</v>
      </c>
      <c r="E40" s="1" t="s">
        <v>54</v>
      </c>
      <c r="F40" s="1" t="s">
        <v>61</v>
      </c>
      <c r="G40" s="8" t="s">
        <v>14</v>
      </c>
    </row>
    <row r="41" spans="1:7" x14ac:dyDescent="0.25">
      <c r="A41" s="1" t="s">
        <v>22</v>
      </c>
      <c r="B41" s="19" t="s">
        <v>99</v>
      </c>
      <c r="C41" s="19" t="s">
        <v>100</v>
      </c>
      <c r="D41" s="1" t="s">
        <v>11</v>
      </c>
      <c r="E41" s="19" t="s">
        <v>101</v>
      </c>
      <c r="F41" s="20"/>
      <c r="G41" s="8" t="s">
        <v>14</v>
      </c>
    </row>
    <row r="42" spans="1:7" x14ac:dyDescent="0.25">
      <c r="A42" s="1" t="s">
        <v>8</v>
      </c>
      <c r="B42" s="19" t="s">
        <v>102</v>
      </c>
      <c r="C42" s="19" t="s">
        <v>103</v>
      </c>
      <c r="D42" s="1" t="s">
        <v>11</v>
      </c>
      <c r="E42" s="19" t="s">
        <v>101</v>
      </c>
      <c r="F42" s="20"/>
      <c r="G42" s="8" t="s">
        <v>14</v>
      </c>
    </row>
    <row r="43" spans="1:7" x14ac:dyDescent="0.25">
      <c r="A43" s="1" t="s">
        <v>8</v>
      </c>
      <c r="B43" s="19" t="s">
        <v>104</v>
      </c>
      <c r="C43" s="19" t="s">
        <v>105</v>
      </c>
      <c r="D43" s="1" t="s">
        <v>11</v>
      </c>
      <c r="E43" s="19" t="s">
        <v>101</v>
      </c>
      <c r="F43" s="20"/>
      <c r="G43" s="8" t="s">
        <v>14</v>
      </c>
    </row>
    <row r="44" spans="1:7" x14ac:dyDescent="0.25">
      <c r="A44" s="1" t="s">
        <v>8</v>
      </c>
      <c r="B44" s="19" t="s">
        <v>106</v>
      </c>
      <c r="C44" s="19" t="s">
        <v>107</v>
      </c>
      <c r="D44" s="1" t="s">
        <v>11</v>
      </c>
      <c r="E44" s="19" t="s">
        <v>101</v>
      </c>
      <c r="F44" s="20"/>
      <c r="G44" s="8" t="s">
        <v>14</v>
      </c>
    </row>
    <row r="45" spans="1:7" x14ac:dyDescent="0.25">
      <c r="A45" s="1" t="s">
        <v>22</v>
      </c>
      <c r="B45" s="19" t="s">
        <v>108</v>
      </c>
      <c r="C45" s="19" t="s">
        <v>109</v>
      </c>
      <c r="D45" s="1" t="s">
        <v>11</v>
      </c>
      <c r="E45" s="19" t="s">
        <v>101</v>
      </c>
      <c r="F45" s="20"/>
      <c r="G45" s="8" t="s">
        <v>14</v>
      </c>
    </row>
    <row r="46" spans="1:7" x14ac:dyDescent="0.25">
      <c r="A46" s="1" t="s">
        <v>8</v>
      </c>
      <c r="B46" s="19" t="s">
        <v>110</v>
      </c>
      <c r="C46" s="19" t="s">
        <v>111</v>
      </c>
      <c r="D46" s="1" t="s">
        <v>11</v>
      </c>
      <c r="E46" s="19" t="s">
        <v>101</v>
      </c>
      <c r="F46" s="20"/>
      <c r="G46" s="8" t="s">
        <v>14</v>
      </c>
    </row>
    <row r="47" spans="1:7" x14ac:dyDescent="0.25">
      <c r="A47" s="1" t="s">
        <v>22</v>
      </c>
      <c r="B47" s="19" t="s">
        <v>112</v>
      </c>
      <c r="C47" s="19" t="s">
        <v>113</v>
      </c>
      <c r="D47" s="1" t="s">
        <v>11</v>
      </c>
      <c r="E47" s="19" t="s">
        <v>101</v>
      </c>
      <c r="F47" s="20"/>
      <c r="G47" s="8" t="s">
        <v>14</v>
      </c>
    </row>
    <row r="48" spans="1:7" x14ac:dyDescent="0.25">
      <c r="A48" s="1" t="s">
        <v>22</v>
      </c>
      <c r="B48" s="19" t="s">
        <v>114</v>
      </c>
      <c r="C48" s="19" t="s">
        <v>115</v>
      </c>
      <c r="D48" s="1" t="s">
        <v>11</v>
      </c>
      <c r="E48" s="19" t="s">
        <v>101</v>
      </c>
      <c r="F48" s="20"/>
      <c r="G48" s="8" t="s">
        <v>14</v>
      </c>
    </row>
    <row r="49" spans="1:7" x14ac:dyDescent="0.25">
      <c r="A49" s="1" t="s">
        <v>22</v>
      </c>
      <c r="B49" s="19" t="s">
        <v>116</v>
      </c>
      <c r="C49" s="19" t="s">
        <v>117</v>
      </c>
      <c r="D49" s="1" t="s">
        <v>11</v>
      </c>
      <c r="E49" s="19" t="s">
        <v>101</v>
      </c>
      <c r="F49" s="20"/>
      <c r="G49" s="8" t="s">
        <v>14</v>
      </c>
    </row>
    <row r="50" spans="1:7" x14ac:dyDescent="0.25">
      <c r="A50" s="1" t="s">
        <v>8</v>
      </c>
      <c r="B50" s="19" t="s">
        <v>118</v>
      </c>
      <c r="C50" s="19" t="s">
        <v>27</v>
      </c>
      <c r="D50" s="1" t="s">
        <v>11</v>
      </c>
      <c r="E50" s="19" t="s">
        <v>101</v>
      </c>
      <c r="F50" s="20"/>
      <c r="G50" s="8" t="s">
        <v>14</v>
      </c>
    </row>
    <row r="51" spans="1:7" x14ac:dyDescent="0.25">
      <c r="A51" s="1" t="s">
        <v>8</v>
      </c>
      <c r="B51" s="19" t="s">
        <v>119</v>
      </c>
      <c r="C51" s="19" t="s">
        <v>103</v>
      </c>
      <c r="D51" s="1" t="s">
        <v>11</v>
      </c>
      <c r="E51" s="19" t="s">
        <v>101</v>
      </c>
      <c r="F51" s="20"/>
      <c r="G51" s="8" t="s">
        <v>14</v>
      </c>
    </row>
    <row r="52" spans="1:7" x14ac:dyDescent="0.25">
      <c r="A52" s="1" t="s">
        <v>22</v>
      </c>
      <c r="B52" s="19" t="s">
        <v>120</v>
      </c>
      <c r="C52" s="19" t="s">
        <v>121</v>
      </c>
      <c r="D52" s="1" t="s">
        <v>11</v>
      </c>
      <c r="E52" s="19" t="s">
        <v>101</v>
      </c>
      <c r="F52" s="20"/>
      <c r="G52" s="8" t="s">
        <v>14</v>
      </c>
    </row>
    <row r="53" spans="1:7" x14ac:dyDescent="0.25">
      <c r="A53" s="1" t="s">
        <v>22</v>
      </c>
      <c r="B53" s="19" t="s">
        <v>122</v>
      </c>
      <c r="C53" s="19" t="s">
        <v>123</v>
      </c>
      <c r="D53" s="1" t="s">
        <v>11</v>
      </c>
      <c r="E53" s="19" t="s">
        <v>101</v>
      </c>
      <c r="F53" s="20"/>
      <c r="G53" s="8" t="s">
        <v>14</v>
      </c>
    </row>
    <row r="54" spans="1:7" x14ac:dyDescent="0.25">
      <c r="A54" s="1" t="s">
        <v>22</v>
      </c>
      <c r="B54" s="19" t="s">
        <v>124</v>
      </c>
      <c r="C54" s="19" t="s">
        <v>125</v>
      </c>
      <c r="D54" s="1" t="s">
        <v>11</v>
      </c>
      <c r="E54" s="19" t="s">
        <v>101</v>
      </c>
      <c r="F54" s="20"/>
      <c r="G54" s="8" t="s">
        <v>14</v>
      </c>
    </row>
    <row r="55" spans="1:7" x14ac:dyDescent="0.25">
      <c r="A55" s="1" t="s">
        <v>8</v>
      </c>
      <c r="B55" s="19" t="s">
        <v>126</v>
      </c>
      <c r="C55" s="19" t="s">
        <v>127</v>
      </c>
      <c r="D55" s="1" t="s">
        <v>11</v>
      </c>
      <c r="E55" s="19" t="s">
        <v>101</v>
      </c>
      <c r="F55" s="20"/>
      <c r="G55" s="8" t="s">
        <v>14</v>
      </c>
    </row>
    <row r="56" spans="1:7" x14ac:dyDescent="0.25">
      <c r="A56" s="1" t="s">
        <v>22</v>
      </c>
      <c r="B56" s="19" t="s">
        <v>128</v>
      </c>
      <c r="C56" s="19" t="s">
        <v>129</v>
      </c>
      <c r="D56" s="1" t="s">
        <v>11</v>
      </c>
      <c r="E56" s="19" t="s">
        <v>101</v>
      </c>
      <c r="F56" s="20"/>
      <c r="G56" s="8" t="s">
        <v>14</v>
      </c>
    </row>
    <row r="57" spans="1:7" x14ac:dyDescent="0.25">
      <c r="A57" s="1" t="s">
        <v>22</v>
      </c>
      <c r="B57" s="19" t="s">
        <v>130</v>
      </c>
      <c r="C57" s="19" t="s">
        <v>131</v>
      </c>
      <c r="D57" s="1" t="s">
        <v>11</v>
      </c>
      <c r="E57" s="19" t="s">
        <v>101</v>
      </c>
      <c r="F57" s="20"/>
      <c r="G57" s="8" t="s">
        <v>14</v>
      </c>
    </row>
    <row r="58" spans="1:7" x14ac:dyDescent="0.25">
      <c r="A58" s="1" t="s">
        <v>22</v>
      </c>
      <c r="B58" s="19" t="s">
        <v>132</v>
      </c>
      <c r="C58" s="19" t="s">
        <v>133</v>
      </c>
      <c r="D58" s="1" t="s">
        <v>11</v>
      </c>
      <c r="E58" s="19" t="s">
        <v>101</v>
      </c>
      <c r="F58" s="20"/>
      <c r="G58" s="8" t="s">
        <v>14</v>
      </c>
    </row>
    <row r="59" spans="1:7" x14ac:dyDescent="0.25">
      <c r="A59" s="1" t="s">
        <v>8</v>
      </c>
      <c r="B59" s="19" t="s">
        <v>134</v>
      </c>
      <c r="C59" s="19" t="s">
        <v>135</v>
      </c>
      <c r="D59" s="1" t="s">
        <v>11</v>
      </c>
      <c r="E59" s="19" t="s">
        <v>136</v>
      </c>
      <c r="F59" s="20"/>
      <c r="G59" s="8" t="s">
        <v>14</v>
      </c>
    </row>
    <row r="60" spans="1:7" x14ac:dyDescent="0.25">
      <c r="A60" s="1" t="s">
        <v>22</v>
      </c>
      <c r="B60" s="19" t="s">
        <v>137</v>
      </c>
      <c r="C60" s="19" t="s">
        <v>25</v>
      </c>
      <c r="D60" s="1" t="s">
        <v>11</v>
      </c>
      <c r="E60" s="19" t="s">
        <v>136</v>
      </c>
      <c r="F60" s="20"/>
      <c r="G60" s="8" t="s">
        <v>14</v>
      </c>
    </row>
    <row r="61" spans="1:7" x14ac:dyDescent="0.25">
      <c r="A61" s="1" t="s">
        <v>22</v>
      </c>
      <c r="B61" s="1" t="s">
        <v>138</v>
      </c>
      <c r="C61" s="1" t="s">
        <v>139</v>
      </c>
      <c r="D61" s="1" t="s">
        <v>11</v>
      </c>
      <c r="E61" s="19" t="s">
        <v>136</v>
      </c>
      <c r="F61" s="1"/>
      <c r="G61" s="8" t="s">
        <v>14</v>
      </c>
    </row>
  </sheetData>
  <autoFilter ref="A1:G40" xr:uid="{00000000-0009-0000-0000-000000000000}"/>
  <conditionalFormatting sqref="G2:G61">
    <cfRule type="cellIs" dxfId="1" priority="1" stopIfTrue="1" operator="equal">
      <formula>"Ja"</formula>
    </cfRule>
    <cfRule type="cellIs" dxfId="0" priority="2" stopIfTrue="1" operator="equal">
      <formula>"Nein"</formula>
    </cfRule>
  </conditionalFormatting>
  <dataValidations count="1">
    <dataValidation type="list" showInputMessage="1" showErrorMessage="1" sqref="G2:G61" xr:uid="{00000000-0002-0000-0000-000000000000}">
      <formula1>"Ja,Nein"</formula1>
    </dataValidation>
  </dataValidations>
  <pageMargins left="0.7" right="0.7" top="0.78740157499999996" bottom="0.78740157499999996" header="0.3" footer="0.3"/>
  <pageSetup paperSize="9" orientation="portrait"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249977111117893"/>
  </sheetPr>
  <dimension ref="A1:H13"/>
  <sheetViews>
    <sheetView tabSelected="1" workbookViewId="0">
      <selection activeCell="E2" sqref="E2"/>
    </sheetView>
  </sheetViews>
  <sheetFormatPr baseColWidth="10" defaultRowHeight="14.25" x14ac:dyDescent="0.25"/>
  <cols>
    <col min="1" max="1" width="56.5703125" style="10" bestFit="1" customWidth="1"/>
    <col min="2" max="2" width="61.5703125" style="10" bestFit="1" customWidth="1"/>
    <col min="3" max="3" width="69.85546875" style="10" customWidth="1"/>
    <col min="4" max="4" width="11.42578125" style="10" customWidth="1"/>
    <col min="5" max="16384" width="11.42578125" style="10"/>
  </cols>
  <sheetData>
    <row r="1" spans="1:8" ht="28.5" customHeight="1" x14ac:dyDescent="0.25">
      <c r="A1" s="13" t="s">
        <v>140</v>
      </c>
      <c r="B1" s="14" t="s">
        <v>141</v>
      </c>
      <c r="C1" s="14" t="s">
        <v>142</v>
      </c>
      <c r="D1" s="14" t="s">
        <v>143</v>
      </c>
      <c r="E1" s="14" t="s">
        <v>144</v>
      </c>
      <c r="F1" s="14" t="s">
        <v>145</v>
      </c>
      <c r="G1" s="14" t="s">
        <v>146</v>
      </c>
      <c r="H1" s="14" t="s">
        <v>147</v>
      </c>
    </row>
    <row r="2" spans="1:8" ht="114" customHeight="1" x14ac:dyDescent="0.25">
      <c r="A2" s="15" t="s">
        <v>148</v>
      </c>
      <c r="B2" s="15" t="s">
        <v>149</v>
      </c>
      <c r="C2" s="16" t="s">
        <v>150</v>
      </c>
      <c r="D2" s="22"/>
      <c r="E2" s="22"/>
      <c r="F2" s="22"/>
      <c r="G2" s="22"/>
      <c r="H2" s="22"/>
    </row>
    <row r="3" spans="1:8" ht="114" customHeight="1" x14ac:dyDescent="0.25">
      <c r="A3" s="15" t="s">
        <v>151</v>
      </c>
      <c r="B3" s="15" t="s">
        <v>152</v>
      </c>
      <c r="C3" s="16" t="s">
        <v>153</v>
      </c>
      <c r="D3" s="22"/>
      <c r="E3" s="22"/>
      <c r="F3" s="22"/>
      <c r="G3" s="22"/>
      <c r="H3" s="22"/>
    </row>
    <row r="4" spans="1:8" ht="114" customHeight="1" x14ac:dyDescent="0.25">
      <c r="A4" s="15" t="s">
        <v>154</v>
      </c>
      <c r="B4" s="15" t="s">
        <v>155</v>
      </c>
      <c r="C4" s="16" t="s">
        <v>156</v>
      </c>
      <c r="D4" s="22"/>
      <c r="E4" s="22"/>
      <c r="F4" s="22"/>
      <c r="G4" s="22"/>
      <c r="H4" s="22"/>
    </row>
    <row r="5" spans="1:8" ht="114" customHeight="1" x14ac:dyDescent="0.25">
      <c r="A5" s="15" t="s">
        <v>157</v>
      </c>
      <c r="B5" s="15" t="s">
        <v>158</v>
      </c>
      <c r="C5" s="16" t="s">
        <v>159</v>
      </c>
      <c r="D5" s="22"/>
      <c r="E5" s="22"/>
      <c r="F5" s="22"/>
      <c r="G5" s="22"/>
      <c r="H5" s="22"/>
    </row>
    <row r="6" spans="1:8" ht="114" customHeight="1" x14ac:dyDescent="0.25">
      <c r="A6" s="15" t="s">
        <v>160</v>
      </c>
      <c r="B6" s="15" t="s">
        <v>161</v>
      </c>
      <c r="C6" s="16" t="s">
        <v>162</v>
      </c>
      <c r="D6" s="22"/>
      <c r="E6" s="22"/>
      <c r="F6" s="22"/>
      <c r="G6" s="22"/>
      <c r="H6" s="22"/>
    </row>
    <row r="7" spans="1:8" ht="114" customHeight="1" x14ac:dyDescent="0.25">
      <c r="A7" s="15" t="s">
        <v>163</v>
      </c>
      <c r="B7" s="15" t="s">
        <v>164</v>
      </c>
      <c r="C7" s="16" t="s">
        <v>165</v>
      </c>
      <c r="D7" s="22"/>
      <c r="E7" s="22"/>
      <c r="F7" s="22"/>
      <c r="G7" s="22"/>
      <c r="H7" s="22"/>
    </row>
    <row r="8" spans="1:8" ht="114" customHeight="1" x14ac:dyDescent="0.25">
      <c r="A8" s="15" t="s">
        <v>166</v>
      </c>
      <c r="B8" s="15" t="s">
        <v>167</v>
      </c>
      <c r="C8" s="16" t="s">
        <v>168</v>
      </c>
      <c r="D8" s="22"/>
      <c r="E8" s="22"/>
      <c r="F8" s="22"/>
      <c r="G8" s="22"/>
      <c r="H8" s="22"/>
    </row>
    <row r="9" spans="1:8" ht="114" customHeight="1" x14ac:dyDescent="0.25">
      <c r="A9" s="15" t="s">
        <v>169</v>
      </c>
      <c r="B9" s="15" t="s">
        <v>170</v>
      </c>
      <c r="C9" s="16" t="s">
        <v>171</v>
      </c>
      <c r="D9" s="22"/>
      <c r="E9" s="22"/>
      <c r="F9" s="22"/>
      <c r="G9" s="22"/>
      <c r="H9" s="22"/>
    </row>
    <row r="10" spans="1:8" ht="114" customHeight="1" x14ac:dyDescent="0.25">
      <c r="A10" s="15" t="s">
        <v>172</v>
      </c>
      <c r="B10" s="15" t="s">
        <v>173</v>
      </c>
      <c r="C10" s="16" t="s">
        <v>174</v>
      </c>
      <c r="D10" s="22"/>
      <c r="E10" s="22"/>
      <c r="F10" s="22"/>
      <c r="G10" s="22"/>
      <c r="H10" s="22"/>
    </row>
    <row r="11" spans="1:8" ht="114" customHeight="1" x14ac:dyDescent="0.25">
      <c r="A11" s="15" t="s">
        <v>175</v>
      </c>
      <c r="B11" s="15" t="s">
        <v>176</v>
      </c>
      <c r="C11" s="16" t="s">
        <v>177</v>
      </c>
      <c r="D11" s="22"/>
      <c r="E11" s="22"/>
      <c r="F11" s="22"/>
      <c r="G11" s="22"/>
      <c r="H11" s="22"/>
    </row>
    <row r="12" spans="1:8" x14ac:dyDescent="0.25">
      <c r="B12" s="11"/>
    </row>
    <row r="13" spans="1:8" x14ac:dyDescent="0.25">
      <c r="B13" s="11"/>
    </row>
  </sheetData>
  <pageMargins left="0.7" right="0.7" top="0.78740157499999996" bottom="0.78740157499999996"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C13"/>
  <sheetViews>
    <sheetView workbookViewId="0">
      <selection activeCell="B16" sqref="B16"/>
    </sheetView>
  </sheetViews>
  <sheetFormatPr baseColWidth="10" defaultRowHeight="14.25" x14ac:dyDescent="0.25"/>
  <cols>
    <col min="1" max="1" width="23.140625" style="10" customWidth="1"/>
    <col min="2" max="2" width="45.7109375" style="10" bestFit="1" customWidth="1"/>
    <col min="3" max="3" width="56.5703125" style="10" bestFit="1" customWidth="1"/>
    <col min="4" max="4" width="11.42578125" style="10" customWidth="1"/>
    <col min="5" max="16384" width="11.42578125" style="10"/>
  </cols>
  <sheetData>
    <row r="2" spans="1:3" x14ac:dyDescent="0.25">
      <c r="A2" s="12" t="s">
        <v>178</v>
      </c>
      <c r="B2" s="12" t="s">
        <v>179</v>
      </c>
      <c r="C2" s="12" t="s">
        <v>180</v>
      </c>
    </row>
    <row r="3" spans="1:3" x14ac:dyDescent="0.25">
      <c r="A3" s="10" t="s">
        <v>181</v>
      </c>
      <c r="B3" s="10" t="s">
        <v>21</v>
      </c>
      <c r="C3" s="10" t="str">
        <f t="shared" ref="C3:C13" si="0">A3&amp;B3</f>
        <v>Themenliste_Marketing und Vertrieb</v>
      </c>
    </row>
    <row r="4" spans="1:3" x14ac:dyDescent="0.25">
      <c r="A4" s="10" t="s">
        <v>181</v>
      </c>
      <c r="B4" s="10" t="s">
        <v>55</v>
      </c>
      <c r="C4" s="10" t="str">
        <f t="shared" si="0"/>
        <v>Themenliste_Einkauf und Logistik</v>
      </c>
    </row>
    <row r="5" spans="1:3" x14ac:dyDescent="0.25">
      <c r="A5" s="10" t="s">
        <v>181</v>
      </c>
      <c r="B5" s="10" t="s">
        <v>13</v>
      </c>
      <c r="C5" s="10" t="str">
        <f t="shared" si="0"/>
        <v>Themenliste_Assistenz und Sekretariat</v>
      </c>
    </row>
    <row r="6" spans="1:3" x14ac:dyDescent="0.25">
      <c r="A6" s="10" t="s">
        <v>181</v>
      </c>
      <c r="B6" s="10" t="s">
        <v>182</v>
      </c>
      <c r="C6" s="10" t="str">
        <f t="shared" si="0"/>
        <v>Themenliste_Kaufmännische Abläufe in KMU</v>
      </c>
    </row>
    <row r="7" spans="1:3" x14ac:dyDescent="0.25">
      <c r="A7" s="10" t="s">
        <v>181</v>
      </c>
      <c r="B7" s="10" t="s">
        <v>183</v>
      </c>
      <c r="C7" s="10" t="str">
        <f t="shared" si="0"/>
        <v>Themenliste_Kaufmännische Steuerung und Kontrolle I</v>
      </c>
    </row>
    <row r="8" spans="1:3" x14ac:dyDescent="0.25">
      <c r="A8" s="10" t="s">
        <v>181</v>
      </c>
      <c r="B8" s="10" t="s">
        <v>61</v>
      </c>
      <c r="C8" s="10" t="str">
        <f t="shared" si="0"/>
        <v>Themenliste_Kaufmännische Steuerung und Kontrolle II</v>
      </c>
    </row>
    <row r="9" spans="1:3" x14ac:dyDescent="0.25">
      <c r="A9" s="10" t="s">
        <v>181</v>
      </c>
      <c r="B9" s="10" t="s">
        <v>184</v>
      </c>
      <c r="C9" s="10" t="str">
        <f t="shared" si="0"/>
        <v>Themenliste_Kaufmännische Steuerung und Kontrolle III</v>
      </c>
    </row>
    <row r="10" spans="1:3" x14ac:dyDescent="0.25">
      <c r="A10" s="10" t="s">
        <v>181</v>
      </c>
      <c r="B10" s="10" t="s">
        <v>58</v>
      </c>
      <c r="C10" s="10" t="str">
        <f t="shared" si="0"/>
        <v>Themenliste_Personalwirtschaft</v>
      </c>
    </row>
    <row r="11" spans="1:3" x14ac:dyDescent="0.25">
      <c r="A11" s="10" t="s">
        <v>181</v>
      </c>
      <c r="B11" s="10" t="s">
        <v>185</v>
      </c>
      <c r="C11" s="10" t="str">
        <f t="shared" si="0"/>
        <v>Themenliste_Auftragssteuerung und -koordination</v>
      </c>
    </row>
    <row r="12" spans="1:3" x14ac:dyDescent="0.25">
      <c r="A12" s="10" t="s">
        <v>181</v>
      </c>
      <c r="B12" s="10" t="s">
        <v>186</v>
      </c>
      <c r="C12" s="10" t="str">
        <f t="shared" si="0"/>
        <v>Themenliste_Öffentlichkeitsarbeit und Veranstaltungsmanagement</v>
      </c>
    </row>
    <row r="13" spans="1:3" x14ac:dyDescent="0.25">
      <c r="A13" s="10" t="s">
        <v>181</v>
      </c>
      <c r="B13" s="10" t="s">
        <v>187</v>
      </c>
      <c r="C13" s="10" t="str">
        <f t="shared" si="0"/>
        <v>Themenliste_Investition, Finanzierung und KLR</v>
      </c>
    </row>
  </sheetData>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2"/>
  <dimension ref="A1:E84"/>
  <sheetViews>
    <sheetView workbookViewId="0">
      <selection activeCell="D2" sqref="D2:E22"/>
    </sheetView>
  </sheetViews>
  <sheetFormatPr baseColWidth="10" defaultRowHeight="13.5" x14ac:dyDescent="0.25"/>
  <cols>
    <col min="1" max="1" width="44.42578125" bestFit="1" customWidth="1"/>
    <col min="3" max="5" width="22.85546875" customWidth="1"/>
  </cols>
  <sheetData>
    <row r="1" spans="1:5" x14ac:dyDescent="0.25">
      <c r="A1" s="2" t="s">
        <v>179</v>
      </c>
      <c r="C1" s="3" t="s">
        <v>188</v>
      </c>
      <c r="D1" s="4"/>
      <c r="E1" s="4"/>
    </row>
    <row r="2" spans="1:5" x14ac:dyDescent="0.25">
      <c r="A2" s="1" t="s">
        <v>13</v>
      </c>
      <c r="C2" s="1" t="s">
        <v>189</v>
      </c>
      <c r="D2" s="1" t="str">
        <f t="shared" ref="D2:D22" si="0">LEFT(C2,FIND(" ",C2)-2)</f>
        <v>Dentano</v>
      </c>
      <c r="E2" s="1" t="str">
        <f t="shared" ref="E2:E22" si="1">RIGHT(C2,LEN(C2)-FIND(" ",C2))</f>
        <v>Melanie</v>
      </c>
    </row>
    <row r="3" spans="1:5" x14ac:dyDescent="0.25">
      <c r="A3" s="1" t="s">
        <v>185</v>
      </c>
      <c r="C3" s="1" t="s">
        <v>190</v>
      </c>
      <c r="D3" s="1" t="str">
        <f t="shared" si="0"/>
        <v>Förster</v>
      </c>
      <c r="E3" s="1" t="str">
        <f t="shared" si="1"/>
        <v>Torsten</v>
      </c>
    </row>
    <row r="4" spans="1:5" x14ac:dyDescent="0.25">
      <c r="A4" s="1" t="s">
        <v>55</v>
      </c>
      <c r="C4" s="1" t="s">
        <v>191</v>
      </c>
      <c r="D4" s="1" t="str">
        <f t="shared" si="0"/>
        <v>Gerdes</v>
      </c>
      <c r="E4" s="1" t="str">
        <f t="shared" si="1"/>
        <v>Simon Jakob</v>
      </c>
    </row>
    <row r="5" spans="1:5" x14ac:dyDescent="0.25">
      <c r="A5" s="1" t="s">
        <v>187</v>
      </c>
      <c r="C5" s="1" t="s">
        <v>192</v>
      </c>
      <c r="D5" s="1" t="str">
        <f t="shared" si="0"/>
        <v>Grusche</v>
      </c>
      <c r="E5" s="1" t="str">
        <f t="shared" si="1"/>
        <v>Sebastian</v>
      </c>
    </row>
    <row r="6" spans="1:5" x14ac:dyDescent="0.25">
      <c r="A6" s="1" t="s">
        <v>182</v>
      </c>
      <c r="C6" s="1" t="s">
        <v>193</v>
      </c>
      <c r="D6" s="1" t="str">
        <f t="shared" si="0"/>
        <v>Höber</v>
      </c>
      <c r="E6" s="1" t="str">
        <f t="shared" si="1"/>
        <v>Jennifer</v>
      </c>
    </row>
    <row r="7" spans="1:5" x14ac:dyDescent="0.25">
      <c r="A7" s="1" t="s">
        <v>183</v>
      </c>
      <c r="C7" s="1" t="s">
        <v>194</v>
      </c>
      <c r="D7" s="1" t="str">
        <f t="shared" si="0"/>
        <v>Lange</v>
      </c>
      <c r="E7" s="1" t="str">
        <f t="shared" si="1"/>
        <v>Yannik</v>
      </c>
    </row>
    <row r="8" spans="1:5" x14ac:dyDescent="0.25">
      <c r="A8" s="1" t="s">
        <v>61</v>
      </c>
      <c r="C8" s="1" t="s">
        <v>195</v>
      </c>
      <c r="D8" s="1" t="str">
        <f t="shared" si="0"/>
        <v>Marineße</v>
      </c>
      <c r="E8" s="1" t="str">
        <f t="shared" si="1"/>
        <v>Loreen</v>
      </c>
    </row>
    <row r="9" spans="1:5" x14ac:dyDescent="0.25">
      <c r="A9" s="1" t="s">
        <v>184</v>
      </c>
      <c r="C9" s="1" t="s">
        <v>196</v>
      </c>
      <c r="D9" s="1" t="str">
        <f t="shared" si="0"/>
        <v>Meinke</v>
      </c>
      <c r="E9" s="1" t="str">
        <f t="shared" si="1"/>
        <v>Jannyn</v>
      </c>
    </row>
    <row r="10" spans="1:5" x14ac:dyDescent="0.25">
      <c r="A10" s="1" t="s">
        <v>21</v>
      </c>
      <c r="C10" s="1" t="s">
        <v>197</v>
      </c>
      <c r="D10" s="1" t="str">
        <f t="shared" si="0"/>
        <v>Pendola</v>
      </c>
      <c r="E10" s="1" t="str">
        <f t="shared" si="1"/>
        <v>Christine</v>
      </c>
    </row>
    <row r="11" spans="1:5" x14ac:dyDescent="0.25">
      <c r="A11" s="1" t="s">
        <v>186</v>
      </c>
      <c r="C11" s="1" t="s">
        <v>198</v>
      </c>
      <c r="D11" s="1" t="str">
        <f t="shared" si="0"/>
        <v>Precht</v>
      </c>
      <c r="E11" s="1" t="str">
        <f t="shared" si="1"/>
        <v>Maik</v>
      </c>
    </row>
    <row r="12" spans="1:5" x14ac:dyDescent="0.25">
      <c r="A12" s="1" t="s">
        <v>58</v>
      </c>
      <c r="C12" s="1" t="s">
        <v>199</v>
      </c>
      <c r="D12" s="1" t="str">
        <f t="shared" si="0"/>
        <v>Reeck</v>
      </c>
      <c r="E12" s="1" t="str">
        <f t="shared" si="1"/>
        <v>Torsten</v>
      </c>
    </row>
    <row r="13" spans="1:5" x14ac:dyDescent="0.25">
      <c r="C13" s="1" t="s">
        <v>200</v>
      </c>
      <c r="D13" s="1" t="str">
        <f t="shared" si="0"/>
        <v>Riethmüller</v>
      </c>
      <c r="E13" s="1" t="str">
        <f t="shared" si="1"/>
        <v>Darron</v>
      </c>
    </row>
    <row r="14" spans="1:5" x14ac:dyDescent="0.25">
      <c r="C14" s="1" t="s">
        <v>201</v>
      </c>
      <c r="D14" s="1" t="str">
        <f t="shared" si="0"/>
        <v>Sasse</v>
      </c>
      <c r="E14" s="1" t="str">
        <f t="shared" si="1"/>
        <v>Corinna</v>
      </c>
    </row>
    <row r="15" spans="1:5" x14ac:dyDescent="0.25">
      <c r="C15" s="1" t="s">
        <v>202</v>
      </c>
      <c r="D15" s="1" t="str">
        <f t="shared" si="0"/>
        <v>Sommer</v>
      </c>
      <c r="E15" s="1" t="str">
        <f t="shared" si="1"/>
        <v>Daniela</v>
      </c>
    </row>
    <row r="16" spans="1:5" x14ac:dyDescent="0.25">
      <c r="C16" s="1" t="s">
        <v>203</v>
      </c>
      <c r="D16" s="1" t="str">
        <f t="shared" si="0"/>
        <v>Szodrowski</v>
      </c>
      <c r="E16" s="1" t="str">
        <f t="shared" si="1"/>
        <v>Jakub</v>
      </c>
    </row>
    <row r="17" spans="3:5" x14ac:dyDescent="0.25">
      <c r="C17" s="1" t="s">
        <v>204</v>
      </c>
      <c r="D17" s="1" t="str">
        <f t="shared" si="0"/>
        <v>Wenke</v>
      </c>
      <c r="E17" s="1" t="str">
        <f t="shared" si="1"/>
        <v>Franziska</v>
      </c>
    </row>
    <row r="18" spans="3:5" x14ac:dyDescent="0.25">
      <c r="C18" s="1" t="s">
        <v>205</v>
      </c>
      <c r="D18" s="1" t="str">
        <f t="shared" si="0"/>
        <v>Wolter</v>
      </c>
      <c r="E18" s="1" t="str">
        <f t="shared" si="1"/>
        <v>Sabine</v>
      </c>
    </row>
    <row r="19" spans="3:5" x14ac:dyDescent="0.25">
      <c r="C19" s="1" t="s">
        <v>206</v>
      </c>
      <c r="D19" s="1" t="str">
        <f t="shared" si="0"/>
        <v>Zimmermann</v>
      </c>
      <c r="E19" s="1" t="str">
        <f t="shared" si="1"/>
        <v>Maike</v>
      </c>
    </row>
    <row r="20" spans="3:5" x14ac:dyDescent="0.25">
      <c r="C20" s="1" t="s">
        <v>207</v>
      </c>
      <c r="D20" s="1" t="str">
        <f t="shared" si="0"/>
        <v>Dammann</v>
      </c>
      <c r="E20" s="1" t="str">
        <f t="shared" si="1"/>
        <v>Nils</v>
      </c>
    </row>
    <row r="21" spans="3:5" x14ac:dyDescent="0.25">
      <c r="C21" s="1" t="s">
        <v>208</v>
      </c>
      <c r="D21" s="1" t="str">
        <f t="shared" si="0"/>
        <v>Pöppelmann</v>
      </c>
      <c r="E21" s="1" t="str">
        <f t="shared" si="1"/>
        <v>Manuela</v>
      </c>
    </row>
    <row r="22" spans="3:5" x14ac:dyDescent="0.25">
      <c r="C22" s="1" t="s">
        <v>209</v>
      </c>
      <c r="D22" s="1" t="str">
        <f t="shared" si="0"/>
        <v>Sauerwein</v>
      </c>
      <c r="E22" s="1" t="str">
        <f t="shared" si="1"/>
        <v>Swetlana</v>
      </c>
    </row>
    <row r="23" spans="3:5" x14ac:dyDescent="0.25">
      <c r="C23" s="1"/>
      <c r="D23" s="1"/>
      <c r="E23" s="1"/>
    </row>
    <row r="26" spans="3:5" x14ac:dyDescent="0.25">
      <c r="C26" s="3" t="s">
        <v>210</v>
      </c>
      <c r="D26" s="4"/>
      <c r="E26" s="4"/>
    </row>
    <row r="27" spans="3:5" x14ac:dyDescent="0.25">
      <c r="C27" s="1" t="s">
        <v>211</v>
      </c>
      <c r="D27" s="1" t="str">
        <f t="shared" ref="D27:D48" si="2">LEFT(C27,FIND(" ",C27)-2)</f>
        <v>Bönsch</v>
      </c>
      <c r="E27" s="1" t="str">
        <f t="shared" ref="E27:E48" si="3">RIGHT(C27,LEN(C27)-FIND(" ",C27))</f>
        <v>Julia</v>
      </c>
    </row>
    <row r="28" spans="3:5" x14ac:dyDescent="0.25">
      <c r="C28" s="1" t="s">
        <v>212</v>
      </c>
      <c r="D28" s="1" t="str">
        <f t="shared" si="2"/>
        <v>Busko</v>
      </c>
      <c r="E28" s="1" t="str">
        <f t="shared" si="3"/>
        <v>Nico</v>
      </c>
    </row>
    <row r="29" spans="3:5" x14ac:dyDescent="0.25">
      <c r="C29" s="1" t="s">
        <v>213</v>
      </c>
      <c r="D29" s="1" t="str">
        <f t="shared" si="2"/>
        <v>Christians</v>
      </c>
      <c r="E29" s="1" t="str">
        <f t="shared" si="3"/>
        <v>Yvonne</v>
      </c>
    </row>
    <row r="30" spans="3:5" x14ac:dyDescent="0.25">
      <c r="C30" s="1" t="s">
        <v>214</v>
      </c>
      <c r="D30" s="1" t="str">
        <f t="shared" si="2"/>
        <v>Dehnel</v>
      </c>
      <c r="E30" s="1" t="str">
        <f t="shared" si="3"/>
        <v>Carola</v>
      </c>
    </row>
    <row r="31" spans="3:5" x14ac:dyDescent="0.25">
      <c r="C31" s="1" t="s">
        <v>215</v>
      </c>
      <c r="D31" s="1" t="str">
        <f t="shared" si="2"/>
        <v>Döhren</v>
      </c>
      <c r="E31" s="1" t="str">
        <f t="shared" si="3"/>
        <v>Anna</v>
      </c>
    </row>
    <row r="32" spans="3:5" x14ac:dyDescent="0.25">
      <c r="C32" s="1" t="s">
        <v>216</v>
      </c>
      <c r="D32" s="1" t="str">
        <f t="shared" si="2"/>
        <v>Freimuth</v>
      </c>
      <c r="E32" s="1" t="str">
        <f t="shared" si="3"/>
        <v>Florian</v>
      </c>
    </row>
    <row r="33" spans="3:5" x14ac:dyDescent="0.25">
      <c r="C33" s="1" t="s">
        <v>217</v>
      </c>
      <c r="D33" s="1" t="str">
        <f t="shared" si="2"/>
        <v>Hogelücht</v>
      </c>
      <c r="E33" s="1" t="str">
        <f t="shared" si="3"/>
        <v>Pamela</v>
      </c>
    </row>
    <row r="34" spans="3:5" x14ac:dyDescent="0.25">
      <c r="C34" s="1" t="s">
        <v>218</v>
      </c>
      <c r="D34" s="1" t="str">
        <f t="shared" si="2"/>
        <v>Hollatz</v>
      </c>
      <c r="E34" s="1" t="str">
        <f t="shared" si="3"/>
        <v>Jan-Helge</v>
      </c>
    </row>
    <row r="35" spans="3:5" x14ac:dyDescent="0.25">
      <c r="C35" s="1" t="s">
        <v>219</v>
      </c>
      <c r="D35" s="1" t="str">
        <f t="shared" si="2"/>
        <v>Karagöz</v>
      </c>
      <c r="E35" s="1" t="str">
        <f t="shared" si="3"/>
        <v>Irem</v>
      </c>
    </row>
    <row r="36" spans="3:5" x14ac:dyDescent="0.25">
      <c r="C36" s="1" t="s">
        <v>220</v>
      </c>
      <c r="D36" s="1" t="str">
        <f t="shared" si="2"/>
        <v>Licher</v>
      </c>
      <c r="E36" s="1" t="str">
        <f t="shared" si="3"/>
        <v>Kea</v>
      </c>
    </row>
    <row r="37" spans="3:5" x14ac:dyDescent="0.25">
      <c r="C37" s="1" t="s">
        <v>221</v>
      </c>
      <c r="D37" s="1" t="str">
        <f t="shared" si="2"/>
        <v>Malinowski</v>
      </c>
      <c r="E37" s="1" t="str">
        <f t="shared" si="3"/>
        <v>Bernd</v>
      </c>
    </row>
    <row r="38" spans="3:5" x14ac:dyDescent="0.25">
      <c r="C38" s="1" t="s">
        <v>222</v>
      </c>
      <c r="D38" s="1" t="str">
        <f t="shared" si="2"/>
        <v>Marchwinski</v>
      </c>
      <c r="E38" s="1" t="str">
        <f t="shared" si="3"/>
        <v>Kamil</v>
      </c>
    </row>
    <row r="39" spans="3:5" x14ac:dyDescent="0.25">
      <c r="C39" s="1" t="s">
        <v>223</v>
      </c>
      <c r="D39" s="1" t="str">
        <f t="shared" si="2"/>
        <v>Moritz</v>
      </c>
      <c r="E39" s="1" t="str">
        <f t="shared" si="3"/>
        <v>Rayisa</v>
      </c>
    </row>
    <row r="40" spans="3:5" x14ac:dyDescent="0.25">
      <c r="C40" s="1" t="s">
        <v>224</v>
      </c>
      <c r="D40" s="1" t="str">
        <f t="shared" si="2"/>
        <v>Muhle</v>
      </c>
      <c r="E40" s="1" t="str">
        <f t="shared" si="3"/>
        <v>Britta</v>
      </c>
    </row>
    <row r="41" spans="3:5" x14ac:dyDescent="0.25">
      <c r="C41" s="1" t="s">
        <v>225</v>
      </c>
      <c r="D41" s="1" t="str">
        <f t="shared" si="2"/>
        <v>Münster</v>
      </c>
      <c r="E41" s="1" t="str">
        <f t="shared" si="3"/>
        <v>Stefan</v>
      </c>
    </row>
    <row r="42" spans="3:5" x14ac:dyDescent="0.25">
      <c r="C42" s="1" t="s">
        <v>226</v>
      </c>
      <c r="D42" s="1" t="str">
        <f t="shared" si="2"/>
        <v>Oelschläger</v>
      </c>
      <c r="E42" s="1" t="str">
        <f t="shared" si="3"/>
        <v>Gabriele</v>
      </c>
    </row>
    <row r="43" spans="3:5" x14ac:dyDescent="0.25">
      <c r="C43" s="1" t="s">
        <v>227</v>
      </c>
      <c r="D43" s="1" t="str">
        <f t="shared" si="2"/>
        <v>Remmers</v>
      </c>
      <c r="E43" s="1" t="str">
        <f t="shared" si="3"/>
        <v>Liesa-Sofie</v>
      </c>
    </row>
    <row r="44" spans="3:5" x14ac:dyDescent="0.25">
      <c r="C44" s="1" t="s">
        <v>228</v>
      </c>
      <c r="D44" s="1" t="str">
        <f t="shared" si="2"/>
        <v>Ritter</v>
      </c>
      <c r="E44" s="1" t="str">
        <f t="shared" si="3"/>
        <v>Birgitt</v>
      </c>
    </row>
    <row r="45" spans="3:5" x14ac:dyDescent="0.25">
      <c r="C45" s="1" t="s">
        <v>229</v>
      </c>
      <c r="D45" s="1" t="str">
        <f t="shared" si="2"/>
        <v>Staroste</v>
      </c>
      <c r="E45" s="1" t="str">
        <f t="shared" si="3"/>
        <v>Heike</v>
      </c>
    </row>
    <row r="46" spans="3:5" x14ac:dyDescent="0.25">
      <c r="C46" s="1" t="s">
        <v>230</v>
      </c>
      <c r="D46" s="1" t="str">
        <f t="shared" si="2"/>
        <v>Stening</v>
      </c>
      <c r="E46" s="1" t="str">
        <f t="shared" si="3"/>
        <v>Saskia</v>
      </c>
    </row>
    <row r="47" spans="3:5" x14ac:dyDescent="0.25">
      <c r="C47" s="1" t="s">
        <v>231</v>
      </c>
      <c r="D47" s="1" t="str">
        <f t="shared" si="2"/>
        <v>Tensing</v>
      </c>
      <c r="E47" s="1" t="str">
        <f t="shared" si="3"/>
        <v>Tobias</v>
      </c>
    </row>
    <row r="48" spans="3:5" x14ac:dyDescent="0.25">
      <c r="C48" s="1" t="s">
        <v>232</v>
      </c>
      <c r="D48" s="1" t="str">
        <f t="shared" si="2"/>
        <v>Widera</v>
      </c>
      <c r="E48" s="1" t="str">
        <f t="shared" si="3"/>
        <v>Hendrik</v>
      </c>
    </row>
    <row r="51" spans="3:5" x14ac:dyDescent="0.25">
      <c r="C51" s="3" t="s">
        <v>233</v>
      </c>
      <c r="D51" s="4"/>
      <c r="E51" s="4"/>
    </row>
    <row r="52" spans="3:5" x14ac:dyDescent="0.25">
      <c r="C52" s="1" t="s">
        <v>234</v>
      </c>
      <c r="D52" s="1" t="str">
        <f t="shared" ref="D52:D69" si="4">LEFT(C52,FIND(" ",C52)-2)</f>
        <v>Evers</v>
      </c>
      <c r="E52" s="1" t="str">
        <f t="shared" ref="E52:E69" si="5">RIGHT(C52,LEN(C52)-FIND(" ",C52))</f>
        <v>Marc William</v>
      </c>
    </row>
    <row r="53" spans="3:5" x14ac:dyDescent="0.25">
      <c r="C53" s="1" t="s">
        <v>235</v>
      </c>
      <c r="D53" s="1" t="str">
        <f t="shared" si="4"/>
        <v>Fluitman</v>
      </c>
      <c r="E53" s="1" t="str">
        <f t="shared" si="5"/>
        <v>Jordan Bouke</v>
      </c>
    </row>
    <row r="54" spans="3:5" x14ac:dyDescent="0.25">
      <c r="C54" s="1" t="s">
        <v>236</v>
      </c>
      <c r="D54" s="1" t="str">
        <f t="shared" si="4"/>
        <v>Grummel</v>
      </c>
      <c r="E54" s="1" t="str">
        <f t="shared" si="5"/>
        <v>Steffen</v>
      </c>
    </row>
    <row r="55" spans="3:5" x14ac:dyDescent="0.25">
      <c r="C55" s="1" t="s">
        <v>237</v>
      </c>
      <c r="D55" s="1" t="str">
        <f t="shared" si="4"/>
        <v>Guida</v>
      </c>
      <c r="E55" s="1" t="str">
        <f t="shared" si="5"/>
        <v>Pasquale</v>
      </c>
    </row>
    <row r="56" spans="3:5" x14ac:dyDescent="0.25">
      <c r="C56" s="1" t="s">
        <v>238</v>
      </c>
      <c r="D56" s="1" t="str">
        <f t="shared" si="4"/>
        <v>Kalyta</v>
      </c>
      <c r="E56" s="1" t="str">
        <f t="shared" si="5"/>
        <v>Sonja</v>
      </c>
    </row>
    <row r="57" spans="3:5" x14ac:dyDescent="0.25">
      <c r="C57" s="1" t="s">
        <v>239</v>
      </c>
      <c r="D57" s="1" t="str">
        <f t="shared" si="4"/>
        <v>Kirmes</v>
      </c>
      <c r="E57" s="1" t="str">
        <f t="shared" si="5"/>
        <v>Manuela</v>
      </c>
    </row>
    <row r="58" spans="3:5" x14ac:dyDescent="0.25">
      <c r="C58" s="1" t="s">
        <v>240</v>
      </c>
      <c r="D58" s="1" t="str">
        <f t="shared" si="4"/>
        <v>Mücke</v>
      </c>
      <c r="E58" s="1" t="str">
        <f t="shared" si="5"/>
        <v>Maik</v>
      </c>
    </row>
    <row r="59" spans="3:5" x14ac:dyDescent="0.25">
      <c r="C59" s="1" t="s">
        <v>241</v>
      </c>
      <c r="D59" s="1" t="str">
        <f t="shared" si="4"/>
        <v>Ockenga</v>
      </c>
      <c r="E59" s="1" t="str">
        <f t="shared" si="5"/>
        <v>Marco</v>
      </c>
    </row>
    <row r="60" spans="3:5" x14ac:dyDescent="0.25">
      <c r="C60" s="1" t="s">
        <v>242</v>
      </c>
      <c r="D60" s="1" t="str">
        <f t="shared" si="4"/>
        <v>Sandkötter</v>
      </c>
      <c r="E60" s="1" t="str">
        <f t="shared" si="5"/>
        <v>Nicole</v>
      </c>
    </row>
    <row r="61" spans="3:5" x14ac:dyDescent="0.25">
      <c r="C61" s="1" t="s">
        <v>243</v>
      </c>
      <c r="D61" s="1" t="str">
        <f t="shared" si="4"/>
        <v>Seefeldt</v>
      </c>
      <c r="E61" s="1" t="str">
        <f t="shared" si="5"/>
        <v>Michelle Louisa</v>
      </c>
    </row>
    <row r="62" spans="3:5" x14ac:dyDescent="0.25">
      <c r="C62" s="1" t="s">
        <v>244</v>
      </c>
      <c r="D62" s="1" t="str">
        <f t="shared" si="4"/>
        <v>Simke</v>
      </c>
      <c r="E62" s="1" t="str">
        <f t="shared" si="5"/>
        <v>Katharina</v>
      </c>
    </row>
    <row r="63" spans="3:5" x14ac:dyDescent="0.25">
      <c r="C63" s="1" t="s">
        <v>245</v>
      </c>
      <c r="D63" s="1" t="str">
        <f t="shared" si="4"/>
        <v>Stoll</v>
      </c>
      <c r="E63" s="1" t="str">
        <f t="shared" si="5"/>
        <v>Gustav</v>
      </c>
    </row>
    <row r="64" spans="3:5" x14ac:dyDescent="0.25">
      <c r="C64" s="1" t="s">
        <v>246</v>
      </c>
      <c r="D64" s="1" t="str">
        <f t="shared" si="4"/>
        <v>Süßmuth</v>
      </c>
      <c r="E64" s="1" t="str">
        <f t="shared" si="5"/>
        <v>Monika</v>
      </c>
    </row>
    <row r="65" spans="3:5" x14ac:dyDescent="0.25">
      <c r="C65" s="1" t="s">
        <v>247</v>
      </c>
      <c r="D65" s="1" t="str">
        <f t="shared" si="4"/>
        <v>Thiems</v>
      </c>
      <c r="E65" s="1" t="str">
        <f t="shared" si="5"/>
        <v>Dennis</v>
      </c>
    </row>
    <row r="66" spans="3:5" x14ac:dyDescent="0.25">
      <c r="C66" s="1" t="s">
        <v>248</v>
      </c>
      <c r="D66" s="1" t="str">
        <f t="shared" si="4"/>
        <v>Hugen</v>
      </c>
      <c r="E66" s="1" t="str">
        <f t="shared" si="5"/>
        <v>Matthias</v>
      </c>
    </row>
    <row r="67" spans="3:5" x14ac:dyDescent="0.25">
      <c r="C67" s="1" t="s">
        <v>249</v>
      </c>
      <c r="D67" s="1" t="str">
        <f t="shared" si="4"/>
        <v>Duhm</v>
      </c>
      <c r="E67" s="1" t="str">
        <f t="shared" si="5"/>
        <v>Christina</v>
      </c>
    </row>
    <row r="68" spans="3:5" x14ac:dyDescent="0.25">
      <c r="C68" s="1" t="s">
        <v>250</v>
      </c>
      <c r="D68" s="1" t="str">
        <f t="shared" si="4"/>
        <v>Seldüz</v>
      </c>
      <c r="E68" s="1" t="str">
        <f t="shared" si="5"/>
        <v>Selma</v>
      </c>
    </row>
    <row r="69" spans="3:5" x14ac:dyDescent="0.25">
      <c r="C69" s="1" t="s">
        <v>251</v>
      </c>
      <c r="D69" s="1" t="str">
        <f t="shared" si="4"/>
        <v>Tangemann</v>
      </c>
      <c r="E69" s="1" t="str">
        <f t="shared" si="5"/>
        <v>Anne-Dörte</v>
      </c>
    </row>
    <row r="72" spans="3:5" x14ac:dyDescent="0.25">
      <c r="C72" s="3" t="s">
        <v>252</v>
      </c>
      <c r="D72" s="17"/>
      <c r="E72" s="18"/>
    </row>
    <row r="73" spans="3:5" x14ac:dyDescent="0.25">
      <c r="C73" s="1" t="s">
        <v>253</v>
      </c>
      <c r="D73" s="1" t="str">
        <f t="shared" ref="D73:D84" si="6">LEFT(C73,FIND(" ",C73)-2)</f>
        <v>Batschauer</v>
      </c>
      <c r="E73" s="1" t="str">
        <f t="shared" ref="E73:E84" si="7">RIGHT(C73,LEN(C73)-FIND(" ",C73))</f>
        <v>Vanessa</v>
      </c>
    </row>
    <row r="74" spans="3:5" x14ac:dyDescent="0.25">
      <c r="C74" s="1" t="s">
        <v>254</v>
      </c>
      <c r="D74" s="1" t="str">
        <f t="shared" si="6"/>
        <v>Bodemer</v>
      </c>
      <c r="E74" s="1" t="str">
        <f t="shared" si="7"/>
        <v>Raissa</v>
      </c>
    </row>
    <row r="75" spans="3:5" x14ac:dyDescent="0.25">
      <c r="C75" s="1" t="s">
        <v>255</v>
      </c>
      <c r="D75" s="1" t="str">
        <f t="shared" si="6"/>
        <v>Doberstein</v>
      </c>
      <c r="E75" s="1" t="str">
        <f t="shared" si="7"/>
        <v>Vanessa</v>
      </c>
    </row>
    <row r="76" spans="3:5" x14ac:dyDescent="0.25">
      <c r="C76" s="1" t="s">
        <v>256</v>
      </c>
      <c r="D76" s="1" t="str">
        <f t="shared" si="6"/>
        <v>Fieberg</v>
      </c>
      <c r="E76" s="1" t="str">
        <f t="shared" si="7"/>
        <v>Kerstin</v>
      </c>
    </row>
    <row r="77" spans="3:5" x14ac:dyDescent="0.25">
      <c r="C77" s="1" t="s">
        <v>257</v>
      </c>
      <c r="D77" s="1" t="str">
        <f t="shared" si="6"/>
        <v>Kempf</v>
      </c>
      <c r="E77" s="1" t="str">
        <f t="shared" si="7"/>
        <v>Cora</v>
      </c>
    </row>
    <row r="78" spans="3:5" x14ac:dyDescent="0.25">
      <c r="C78" s="1" t="s">
        <v>258</v>
      </c>
      <c r="D78" s="1" t="str">
        <f t="shared" si="6"/>
        <v>Kramer</v>
      </c>
      <c r="E78" s="1" t="str">
        <f t="shared" si="7"/>
        <v>Angelika</v>
      </c>
    </row>
    <row r="79" spans="3:5" x14ac:dyDescent="0.25">
      <c r="C79" s="1" t="s">
        <v>259</v>
      </c>
      <c r="D79" s="1" t="str">
        <f t="shared" si="6"/>
        <v>Kröger</v>
      </c>
      <c r="E79" s="1" t="str">
        <f t="shared" si="7"/>
        <v>Markus</v>
      </c>
    </row>
    <row r="80" spans="3:5" x14ac:dyDescent="0.25">
      <c r="C80" s="1" t="s">
        <v>260</v>
      </c>
      <c r="D80" s="1" t="str">
        <f t="shared" si="6"/>
        <v>Lübbe</v>
      </c>
      <c r="E80" s="1" t="str">
        <f t="shared" si="7"/>
        <v>Jens</v>
      </c>
    </row>
    <row r="81" spans="3:5" x14ac:dyDescent="0.25">
      <c r="C81" s="1" t="s">
        <v>261</v>
      </c>
      <c r="D81" s="1" t="str">
        <f t="shared" si="6"/>
        <v>Pyka</v>
      </c>
      <c r="E81" s="1" t="str">
        <f t="shared" si="7"/>
        <v>Juliane Melanie</v>
      </c>
    </row>
    <row r="82" spans="3:5" x14ac:dyDescent="0.25">
      <c r="C82" s="1" t="s">
        <v>262</v>
      </c>
      <c r="D82" s="1" t="str">
        <f t="shared" si="6"/>
        <v>Rosenberg</v>
      </c>
      <c r="E82" s="1" t="str">
        <f t="shared" si="7"/>
        <v>Simone</v>
      </c>
    </row>
    <row r="83" spans="3:5" x14ac:dyDescent="0.25">
      <c r="C83" s="1" t="s">
        <v>263</v>
      </c>
      <c r="D83" s="1" t="str">
        <f t="shared" si="6"/>
        <v>Schmidt</v>
      </c>
      <c r="E83" s="1" t="str">
        <f t="shared" si="7"/>
        <v>Saskia</v>
      </c>
    </row>
    <row r="84" spans="3:5" x14ac:dyDescent="0.25">
      <c r="C84" s="1" t="s">
        <v>264</v>
      </c>
      <c r="D84" s="1" t="str">
        <f t="shared" si="6"/>
        <v>Terveer</v>
      </c>
      <c r="E84" s="1" t="str">
        <f t="shared" si="7"/>
        <v>Andrea</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Teilnehmende</vt:lpstr>
      <vt:lpstr>E-Mail-Konfiguration</vt:lpstr>
      <vt:lpstr>Vorbereitung</vt:lpstr>
      <vt:lpstr>Hilfstabellen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 Gorontzy</dc:creator>
  <cp:lastModifiedBy>Tom Gorontzy</cp:lastModifiedBy>
  <dcterms:created xsi:type="dcterms:W3CDTF">2025-03-25T09:24:39Z</dcterms:created>
  <dcterms:modified xsi:type="dcterms:W3CDTF">2026-06-05T16:45:05Z</dcterms:modified>
</cp:coreProperties>
</file>